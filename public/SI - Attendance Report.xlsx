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sheetId="1" r:id="rId5"/>
    <sheet state="visible" name="Calculation Sheet" sheetId="2" r:id="rId6"/>
    <sheet state="visible" name="Dashboard" sheetId="3" r:id="rId7"/>
  </sheets>
  <definedNames>
    <definedName hidden="1" localSheetId="1" name="_xlnm._FilterDatabase">'Calculation Sheet'!$A$1:$I$15</definedName>
  </definedNames>
  <calcPr/>
</workbook>
</file>

<file path=xl/sharedStrings.xml><?xml version="1.0" encoding="utf-8"?>
<sst xmlns="http://schemas.openxmlformats.org/spreadsheetml/2006/main" count="973" uniqueCount="62">
  <si>
    <t>Participant</t>
  </si>
  <si>
    <t>Activity</t>
  </si>
  <si>
    <t>Category</t>
  </si>
  <si>
    <t>Attendance</t>
  </si>
  <si>
    <t>Hazel An Orito</t>
  </si>
  <si>
    <t>TRUST IN THE LORD</t>
  </si>
  <si>
    <t>Major Activity</t>
  </si>
  <si>
    <t>Rhea Angel Bernales</t>
  </si>
  <si>
    <t>Michelle Orito</t>
  </si>
  <si>
    <t>Marites Palomar</t>
  </si>
  <si>
    <t>Cristy Mondalo</t>
  </si>
  <si>
    <t>Estela Mae Montenegro</t>
  </si>
  <si>
    <t>Harlene Absalon</t>
  </si>
  <si>
    <t>Anita Ajoc</t>
  </si>
  <si>
    <t>Noime Ronquillo</t>
  </si>
  <si>
    <t>Mayet Midrano</t>
  </si>
  <si>
    <t>J-C-LYN Hinlas</t>
  </si>
  <si>
    <t>Robles Aubry</t>
  </si>
  <si>
    <t>Jeselle Dumalaga</t>
  </si>
  <si>
    <t>Ronelyn Hungayo</t>
  </si>
  <si>
    <t xml:space="preserve">HAVE FAITH IN GOD </t>
  </si>
  <si>
    <t>Sunday Service</t>
  </si>
  <si>
    <t>RESPONSIVE CAREGIVING</t>
  </si>
  <si>
    <t>Life Class</t>
  </si>
  <si>
    <t>POSTPARTUM &amp; FIRST 1000 DAYS</t>
  </si>
  <si>
    <t>PRINCIPLES OF GROWTH &amp; DEVELOPMENT</t>
  </si>
  <si>
    <t>STREAMS IN THE DESSERTS</t>
  </si>
  <si>
    <t>A YEAR END THANKSGIVING FOR NEW LIFE</t>
  </si>
  <si>
    <t>IMMERSE IN GOD'S WORD</t>
  </si>
  <si>
    <t>SIGNIFICANT OF GOD'S WORD</t>
  </si>
  <si>
    <t>LOVING GOD WITH PEOPPLE</t>
  </si>
  <si>
    <t>LOVING OUR SPOUSE</t>
  </si>
  <si>
    <t>JULY 2025 HV</t>
  </si>
  <si>
    <t>Home Visitation</t>
  </si>
  <si>
    <t>AUGUST 2025 HV</t>
  </si>
  <si>
    <t>SEPTEMBER 2025 HV</t>
  </si>
  <si>
    <t>OCTOBER 2025 HV</t>
  </si>
  <si>
    <t>NOVEMBER 2025 HV</t>
  </si>
  <si>
    <t>DECEMBER 2025 HV</t>
  </si>
  <si>
    <t>JANUARY 2026 HV</t>
  </si>
  <si>
    <t>FEBRUARY 2026 HV</t>
  </si>
  <si>
    <t>MARCH 2026 HV</t>
  </si>
  <si>
    <t>BLESSED WOMB BLESSED HOME</t>
  </si>
  <si>
    <t>UNSHAKEN FAITH IN A SHAKEN WORLD</t>
  </si>
  <si>
    <t>October 26 Sunday Service</t>
  </si>
  <si>
    <t>SEEK GOD FIRST March 6</t>
  </si>
  <si>
    <t>LIVING IN GOD'S LOVE</t>
  </si>
  <si>
    <t>Participants</t>
  </si>
  <si>
    <t>Overall %</t>
  </si>
  <si>
    <t>Star Ratings per Performance</t>
  </si>
  <si>
    <t>SPIRITUAL ASSESMENT</t>
  </si>
  <si>
    <t>ACTIVITY ASSESMENT</t>
  </si>
  <si>
    <t>Developing (Still Learning)</t>
  </si>
  <si>
    <t>Active</t>
  </si>
  <si>
    <t>Neglectful</t>
  </si>
  <si>
    <t>Growing (Shows good understanding)</t>
  </si>
  <si>
    <t>Active, Up-to-date</t>
  </si>
  <si>
    <t>Uncooperative</t>
  </si>
  <si>
    <t xml:space="preserve">            </t>
  </si>
  <si>
    <t xml:space="preserve"> </t>
  </si>
  <si>
    <t xml:space="preserve">  </t>
  </si>
  <si>
    <t>TOTAL PERCENTAGE</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</si>
</sst>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scheme val="minor"/>
    </font>
    <font>
      <color rgb="FF434343"/>
      <name val="Roboto"/>
    </font>
    <font>
      <color rgb="FF423671"/>
      <name val="Roboto"/>
    </font>
    <font>
      <color rgb="FF254495"/>
      <name val="Roboto"/>
    </font>
    <font>
      <b/>
      <color theme="1"/>
      <name val="Arial"/>
      <scheme val="minor"/>
    </font>
    <font>
      <sz val="20.0"/>
      <color theme="1"/>
      <name val="Arial"/>
      <scheme val="minor"/>
    </font>
    <font>
      <sz val="16.0"/>
      <color theme="1"/>
      <name val="Arial"/>
      <scheme val="minor"/>
    </font>
    <font>
      <sz val="30.0"/>
      <color theme="1"/>
      <name val="Arial"/>
      <scheme val="minor"/>
    </font>
    <font>
      <b/>
      <sz val="15.0"/>
      <color rgb="FF20124D"/>
      <name val="Arial"/>
      <scheme val="minor"/>
    </font>
    <font>
      <sz val="15.0"/>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theme="8"/>
        <bgColor theme="8"/>
      </patternFill>
    </fill>
  </fills>
  <borders count="9">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1" fillId="2" fontId="2" numFmtId="0" xfId="0" applyAlignment="1" applyBorder="1" applyFill="1" applyFont="1">
      <alignment shrinkToFit="0" vertical="center" wrapText="0"/>
    </xf>
    <xf borderId="0" fillId="0" fontId="1" numFmtId="0" xfId="0" applyAlignment="1" applyFont="1">
      <alignment readingOrder="0" shrinkToFit="0" vertical="center" wrapText="0"/>
    </xf>
    <xf borderId="2" fillId="3" fontId="2" numFmtId="0" xfId="0" applyAlignment="1" applyBorder="1" applyFill="1" applyFont="1">
      <alignment shrinkToFit="0" vertical="center" wrapText="0"/>
    </xf>
    <xf borderId="3" fillId="2" fontId="2" numFmtId="0" xfId="0" applyAlignment="1" applyBorder="1" applyFont="1">
      <alignment shrinkToFit="0" vertical="center" wrapText="0"/>
    </xf>
    <xf borderId="3" fillId="2" fontId="3" numFmtId="0" xfId="0" applyAlignment="1" applyBorder="1" applyFont="1">
      <alignment shrinkToFit="0" vertical="center" wrapText="0"/>
    </xf>
    <xf borderId="4" fillId="2" fontId="2" numFmtId="0" xfId="0" applyAlignment="1" applyBorder="1" applyFont="1">
      <alignment horizontal="right" shrinkToFit="0" vertical="center" wrapText="0"/>
    </xf>
    <xf borderId="1" fillId="3" fontId="2" numFmtId="0" xfId="0" applyAlignment="1" applyBorder="1" applyFont="1">
      <alignment shrinkToFit="0" vertical="center" wrapText="0"/>
    </xf>
    <xf borderId="5" fillId="3" fontId="2" numFmtId="0" xfId="0" applyAlignment="1" applyBorder="1" applyFont="1">
      <alignment readingOrder="0" shrinkToFit="0" vertical="center" wrapText="0"/>
    </xf>
    <xf borderId="5" fillId="3" fontId="4" numFmtId="0" xfId="0" applyAlignment="1" applyBorder="1" applyFont="1">
      <alignment shrinkToFit="0" vertical="center" wrapText="0"/>
    </xf>
    <xf borderId="6" fillId="3" fontId="2" numFmtId="0" xfId="0" applyAlignment="1" applyBorder="1" applyFont="1">
      <alignment horizontal="right" shrinkToFit="0" vertical="center" wrapText="0"/>
    </xf>
    <xf borderId="2" fillId="2" fontId="2" numFmtId="0" xfId="0" applyAlignment="1" applyBorder="1" applyFont="1">
      <alignment shrinkToFit="0" vertical="center" wrapText="0"/>
    </xf>
    <xf borderId="3" fillId="2" fontId="4" numFmtId="0" xfId="0" applyAlignment="1" applyBorder="1" applyFont="1">
      <alignment shrinkToFit="0" vertical="center" wrapText="0"/>
    </xf>
    <xf borderId="4" fillId="2" fontId="2" numFmtId="0" xfId="0" applyAlignment="1" applyBorder="1" applyFont="1">
      <alignment horizontal="right" readingOrder="0" shrinkToFit="0" vertical="center" wrapText="0"/>
    </xf>
    <xf borderId="6" fillId="3" fontId="2" numFmtId="0" xfId="0" applyAlignment="1" applyBorder="1" applyFont="1">
      <alignment horizontal="right" readingOrder="0" shrinkToFit="0" vertical="center" wrapText="0"/>
    </xf>
    <xf borderId="7" fillId="2" fontId="4" numFmtId="0" xfId="0" applyAlignment="1" applyBorder="1" applyFont="1">
      <alignment shrinkToFit="0" vertical="center" wrapText="0"/>
    </xf>
    <xf borderId="8" fillId="2" fontId="2" numFmtId="0" xfId="0" applyAlignment="1" applyBorder="1" applyFont="1">
      <alignment horizontal="right" readingOrder="0" shrinkToFit="0" vertical="center" wrapText="0"/>
    </xf>
    <xf borderId="8" fillId="2" fontId="2" numFmtId="0" xfId="0" applyAlignment="1" applyBorder="1" applyFont="1">
      <alignment horizontal="right" shrinkToFit="0" vertical="center" wrapText="0"/>
    </xf>
    <xf borderId="5" fillId="3" fontId="4" numFmtId="0" xfId="0" applyAlignment="1" applyBorder="1" applyFont="1">
      <alignment readingOrder="0" shrinkToFit="0" vertical="center" wrapText="0"/>
    </xf>
    <xf borderId="2" fillId="2" fontId="2" numFmtId="0" xfId="0" applyAlignment="1" applyBorder="1" applyFont="1">
      <alignment readingOrder="0" shrinkToFit="0" vertical="center" wrapText="0"/>
    </xf>
    <xf borderId="1" fillId="3" fontId="2" numFmtId="0" xfId="0" applyAlignment="1" applyBorder="1" applyFont="1">
      <alignment readingOrder="0" shrinkToFit="0" vertical="center" wrapText="0"/>
    </xf>
    <xf borderId="0" fillId="4" fontId="5" numFmtId="0" xfId="0" applyAlignment="1" applyFill="1" applyFont="1">
      <alignment horizontal="center" readingOrder="0" shrinkToFit="0" vertical="center" wrapText="1"/>
    </xf>
    <xf borderId="0" fillId="5" fontId="5" numFmtId="0" xfId="0" applyAlignment="1" applyFill="1" applyFont="1">
      <alignment horizontal="center" readingOrder="0" shrinkToFit="0" vertical="center" wrapText="1"/>
    </xf>
    <xf borderId="0" fillId="0" fontId="1" numFmtId="0" xfId="0" applyAlignment="1" applyFont="1">
      <alignment readingOrder="0" vertical="center"/>
    </xf>
    <xf borderId="0" fillId="0" fontId="1" numFmtId="10" xfId="0" applyAlignment="1" applyFont="1" applyNumberFormat="1">
      <alignment horizontal="center" vertical="center"/>
    </xf>
    <xf borderId="0" fillId="0" fontId="6" numFmtId="0" xfId="0" applyAlignment="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0" fillId="0" fontId="1" numFmtId="0" xfId="0" applyAlignment="1" applyFont="1">
      <alignment vertical="center"/>
    </xf>
    <xf borderId="0" fillId="2" fontId="1" numFmtId="0" xfId="0" applyAlignment="1" applyFont="1">
      <alignment horizontal="center" readingOrder="0" vertical="center"/>
    </xf>
    <xf borderId="0" fillId="0" fontId="1" numFmtId="0" xfId="0" applyAlignment="1" applyFont="1">
      <alignment readingOrder="0"/>
    </xf>
    <xf borderId="0" fillId="0" fontId="7" numFmtId="0" xfId="0" applyFont="1"/>
    <xf borderId="0" fillId="0" fontId="7" numFmtId="0" xfId="0" applyAlignment="1" applyFont="1">
      <alignment readingOrder="0"/>
    </xf>
    <xf borderId="0" fillId="0" fontId="7" numFmtId="10" xfId="0" applyFont="1" applyNumberFormat="1"/>
    <xf borderId="0" fillId="0" fontId="8" numFmtId="0" xfId="0" applyAlignment="1" applyFont="1">
      <alignment horizontal="center" vertical="center"/>
    </xf>
    <xf borderId="0" fillId="0" fontId="9" numFmtId="0" xfId="0" applyAlignment="1" applyFont="1">
      <alignment readingOrder="0"/>
    </xf>
    <xf borderId="0" fillId="0" fontId="10" numFmtId="0" xfId="0"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Raw-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15"/>
      <c:rotY val="20"/>
      <c:depthPercent val="100"/>
      <c:rAngAx val="1"/>
    </c:view3D>
    <c:plotArea>
      <c:layout/>
      <c:bar3DChart>
        <c:barDir val="col"/>
        <c:grouping val="clustered"/>
        <c:ser>
          <c:idx val="0"/>
          <c:order val="0"/>
          <c:spPr>
            <a:solidFill>
              <a:schemeClr val="accent1"/>
            </a:solidFill>
            <a:ln cmpd="sng">
              <a:solidFill>
                <a:srgbClr val="000000"/>
              </a:solidFill>
            </a:ln>
          </c:spPr>
          <c:cat>
            <c:strRef>
              <c:f>Dashboard!$A$4:$A$8</c:f>
            </c:strRef>
          </c:cat>
          <c:val>
            <c:numRef>
              <c:f>Dashboard!$B$4:$B$8</c:f>
              <c:numCache/>
            </c:numRef>
          </c:val>
        </c:ser>
        <c:axId val="1127362948"/>
        <c:axId val="109968082"/>
      </c:bar3DChart>
      <c:catAx>
        <c:axId val="1127362948"/>
        <c:scaling>
          <c:orientation val="minMax"/>
        </c:scaling>
        <c:delete val="0"/>
        <c:axPos val="b"/>
        <c:title>
          <c:tx>
            <c:rich>
              <a:bodyPr/>
              <a:lstStyle/>
              <a:p>
                <a:pPr lvl="0">
                  <a:defRPr b="0">
                    <a:solidFill>
                      <a:srgbClr val="000000"/>
                    </a:solidFill>
                    <a:latin typeface="sans-serif"/>
                  </a:defRPr>
                </a:pPr>
                <a:r>
                  <a:rPr b="0">
                    <a:solidFill>
                      <a:srgbClr val="000000"/>
                    </a:solidFill>
                    <a:latin typeface="sans-serif"/>
                  </a:rPr>
                  <a:t/>
                </a:r>
              </a:p>
            </c:rich>
          </c:tx>
          <c:overlay val="0"/>
        </c:title>
        <c:numFmt formatCode="General" sourceLinked="1"/>
        <c:majorTickMark val="none"/>
        <c:minorTickMark val="none"/>
        <c:spPr/>
        <c:txPr>
          <a:bodyPr/>
          <a:lstStyle/>
          <a:p>
            <a:pPr lvl="0">
              <a:defRPr b="0">
                <a:solidFill>
                  <a:srgbClr val="000000"/>
                </a:solidFill>
                <a:latin typeface="Tahoma"/>
              </a:defRPr>
            </a:pPr>
          </a:p>
        </c:txPr>
        <c:crossAx val="109968082"/>
      </c:catAx>
      <c:valAx>
        <c:axId val="109968082"/>
        <c:scaling>
          <c:orientation val="minMax"/>
          <c:max val="1.0"/>
        </c:scaling>
        <c:delete val="0"/>
        <c:axPos val="l"/>
        <c:minorGridlines>
          <c:spPr>
            <a:ln>
              <a:solidFill>
                <a:srgbClr val="CCCCCC">
                  <a:alpha val="0"/>
                </a:srgbClr>
              </a:solidFill>
            </a:ln>
          </c:spPr>
        </c:minorGridlines>
        <c:title>
          <c:tx>
            <c:rich>
              <a:bodyPr/>
              <a:lstStyle/>
              <a:p>
                <a:pPr lvl="0">
                  <a:defRPr b="0">
                    <a:solidFill>
                      <a:srgbClr val="000000"/>
                    </a:solidFill>
                    <a:latin typeface="sans-serif"/>
                  </a:defRPr>
                </a:pPr>
                <a:r>
                  <a:rPr b="0">
                    <a:solidFill>
                      <a:srgbClr val="000000"/>
                    </a:solidFill>
                    <a:latin typeface="sans-serif"/>
                  </a:rPr>
                  <a:t/>
                </a:r>
              </a:p>
            </c:rich>
          </c:tx>
          <c:overlay val="0"/>
        </c:title>
        <c:numFmt formatCode="0.00%" sourceLinked="0"/>
        <c:majorTickMark val="none"/>
        <c:minorTickMark val="none"/>
        <c:tickLblPos val="nextTo"/>
        <c:spPr>
          <a:ln/>
        </c:spPr>
        <c:txPr>
          <a:bodyPr/>
          <a:lstStyle/>
          <a:p>
            <a:pPr lvl="0">
              <a:defRPr b="0">
                <a:solidFill>
                  <a:srgbClr val="000000"/>
                </a:solidFill>
                <a:latin typeface="Tahoma"/>
              </a:defRPr>
            </a:pPr>
          </a:p>
        </c:txPr>
        <c:crossAx val="1127362948"/>
      </c:valAx>
    </c:plotArea>
    <c:legend>
      <c:legendPos val="r"/>
      <c:overlay val="0"/>
      <c:txPr>
        <a:bodyPr/>
        <a:lstStyle/>
        <a:p>
          <a:pPr lvl="0">
            <a:defRPr b="0">
              <a:solidFill>
                <a:srgbClr val="1A1A1A"/>
              </a:solidFill>
              <a:latin typeface="Comic Sans MS"/>
            </a:defRPr>
          </a:pPr>
        </a:p>
      </c:txPr>
    </c:legend>
    <c:plotVisOnly val="1"/>
  </c:chart>
  <c:spPr>
    <a:solidFill>
      <a:srgbClr val="FFF2CC"/>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0</xdr:row>
      <xdr:rowOff>285750</xdr:rowOff>
    </xdr:from>
    <xdr:ext cx="7781925" cy="4819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1:D303" displayName="Table1" name="Table1" id="1">
  <tableColumns count="4">
    <tableColumn name="Participant" id="1"/>
    <tableColumn name="Activity" id="2"/>
    <tableColumn name="Category" id="3"/>
    <tableColumn name="Attendance" id="4"/>
  </tableColumns>
  <tableStyleInfo name="Raw-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88"/>
    <col customWidth="1" min="2" max="2" width="20.88"/>
    <col customWidth="1" min="3" max="3" width="19.13"/>
    <col customWidth="1" min="4" max="4" width="17.25"/>
  </cols>
  <sheetData>
    <row r="1" ht="22.5" customHeight="1">
      <c r="A1" s="1" t="s">
        <v>0</v>
      </c>
      <c r="B1" s="1" t="s">
        <v>1</v>
      </c>
      <c r="C1" s="1" t="s">
        <v>2</v>
      </c>
      <c r="D1" s="1" t="s">
        <v>3</v>
      </c>
    </row>
    <row r="2" ht="22.5" customHeight="1">
      <c r="A2" s="2" t="s">
        <v>4</v>
      </c>
      <c r="B2" s="2" t="s">
        <v>5</v>
      </c>
      <c r="C2" s="2" t="s">
        <v>6</v>
      </c>
      <c r="D2" s="3">
        <v>1.0</v>
      </c>
    </row>
    <row r="3" ht="22.5" customHeight="1">
      <c r="A3" s="2" t="s">
        <v>7</v>
      </c>
      <c r="B3" s="2" t="s">
        <v>5</v>
      </c>
      <c r="C3" s="2" t="s">
        <v>6</v>
      </c>
      <c r="D3" s="3">
        <v>0.0</v>
      </c>
    </row>
    <row r="4" ht="22.5" customHeight="1">
      <c r="A4" s="2" t="s">
        <v>8</v>
      </c>
      <c r="B4" s="2" t="s">
        <v>5</v>
      </c>
      <c r="C4" s="2" t="s">
        <v>6</v>
      </c>
      <c r="D4" s="3">
        <v>1.0</v>
      </c>
    </row>
    <row r="5" ht="22.5" customHeight="1">
      <c r="A5" s="2" t="s">
        <v>9</v>
      </c>
      <c r="B5" s="2" t="s">
        <v>5</v>
      </c>
      <c r="C5" s="2" t="s">
        <v>6</v>
      </c>
      <c r="D5" s="3">
        <v>1.0</v>
      </c>
    </row>
    <row r="6" ht="22.5" customHeight="1">
      <c r="A6" s="2" t="s">
        <v>10</v>
      </c>
      <c r="B6" s="2" t="s">
        <v>5</v>
      </c>
      <c r="C6" s="2" t="s">
        <v>6</v>
      </c>
      <c r="D6" s="3">
        <v>1.0</v>
      </c>
    </row>
    <row r="7" ht="22.5" customHeight="1">
      <c r="A7" s="2" t="s">
        <v>11</v>
      </c>
      <c r="B7" s="2" t="s">
        <v>5</v>
      </c>
      <c r="C7" s="2" t="s">
        <v>6</v>
      </c>
      <c r="D7" s="3">
        <v>1.0</v>
      </c>
    </row>
    <row r="8" ht="22.5" customHeight="1">
      <c r="A8" s="2" t="s">
        <v>12</v>
      </c>
      <c r="B8" s="2" t="s">
        <v>5</v>
      </c>
      <c r="C8" s="2" t="s">
        <v>6</v>
      </c>
      <c r="D8" s="3">
        <v>0.0</v>
      </c>
    </row>
    <row r="9" ht="22.5" customHeight="1">
      <c r="A9" s="2" t="s">
        <v>13</v>
      </c>
      <c r="B9" s="2" t="s">
        <v>5</v>
      </c>
      <c r="C9" s="2" t="s">
        <v>6</v>
      </c>
      <c r="D9" s="3">
        <v>1.0</v>
      </c>
    </row>
    <row r="10" ht="22.5" customHeight="1">
      <c r="A10" s="2" t="s">
        <v>14</v>
      </c>
      <c r="B10" s="2" t="s">
        <v>5</v>
      </c>
      <c r="C10" s="2" t="s">
        <v>6</v>
      </c>
      <c r="D10" s="3">
        <v>1.0</v>
      </c>
    </row>
    <row r="11" ht="22.5" customHeight="1">
      <c r="A11" s="2" t="s">
        <v>15</v>
      </c>
      <c r="B11" s="2" t="s">
        <v>5</v>
      </c>
      <c r="C11" s="2" t="s">
        <v>6</v>
      </c>
      <c r="D11" s="3">
        <v>1.0</v>
      </c>
    </row>
    <row r="12" ht="22.5" customHeight="1">
      <c r="A12" s="2" t="s">
        <v>16</v>
      </c>
      <c r="B12" s="2" t="s">
        <v>5</v>
      </c>
      <c r="C12" s="2" t="s">
        <v>6</v>
      </c>
      <c r="D12" s="3">
        <v>1.0</v>
      </c>
    </row>
    <row r="13" ht="22.5" customHeight="1">
      <c r="A13" s="2" t="s">
        <v>17</v>
      </c>
      <c r="B13" s="2" t="s">
        <v>5</v>
      </c>
      <c r="C13" s="2" t="s">
        <v>6</v>
      </c>
      <c r="D13" s="3">
        <v>1.0</v>
      </c>
    </row>
    <row r="14" ht="22.5" customHeight="1">
      <c r="A14" s="2" t="s">
        <v>18</v>
      </c>
      <c r="B14" s="2" t="s">
        <v>5</v>
      </c>
      <c r="C14" s="2" t="s">
        <v>6</v>
      </c>
      <c r="D14" s="3">
        <v>0.0</v>
      </c>
    </row>
    <row r="15" ht="22.5" customHeight="1">
      <c r="A15" s="2" t="s">
        <v>19</v>
      </c>
      <c r="B15" s="2" t="s">
        <v>5</v>
      </c>
      <c r="C15" s="2" t="s">
        <v>6</v>
      </c>
      <c r="D15" s="3">
        <v>0.0</v>
      </c>
    </row>
    <row r="16" ht="22.5" customHeight="1">
      <c r="A16" s="2" t="s">
        <v>4</v>
      </c>
      <c r="B16" s="2" t="s">
        <v>20</v>
      </c>
      <c r="C16" s="2" t="s">
        <v>21</v>
      </c>
      <c r="D16" s="3">
        <v>1.0</v>
      </c>
    </row>
    <row r="17" ht="22.5" customHeight="1">
      <c r="A17" s="2" t="s">
        <v>7</v>
      </c>
      <c r="B17" s="2" t="s">
        <v>20</v>
      </c>
      <c r="C17" s="2" t="s">
        <v>21</v>
      </c>
      <c r="D17" s="3">
        <v>0.0</v>
      </c>
    </row>
    <row r="18" ht="22.5" customHeight="1">
      <c r="A18" s="2" t="s">
        <v>8</v>
      </c>
      <c r="B18" s="2" t="s">
        <v>20</v>
      </c>
      <c r="C18" s="2" t="s">
        <v>21</v>
      </c>
      <c r="D18" s="3">
        <v>0.0</v>
      </c>
    </row>
    <row r="19" ht="22.5" customHeight="1">
      <c r="A19" s="2" t="s">
        <v>9</v>
      </c>
      <c r="B19" s="2" t="s">
        <v>20</v>
      </c>
      <c r="C19" s="2" t="s">
        <v>21</v>
      </c>
      <c r="D19" s="3">
        <v>1.0</v>
      </c>
    </row>
    <row r="20" ht="22.5" customHeight="1">
      <c r="A20" s="2" t="s">
        <v>10</v>
      </c>
      <c r="B20" s="2" t="s">
        <v>20</v>
      </c>
      <c r="C20" s="2" t="s">
        <v>21</v>
      </c>
      <c r="D20" s="3">
        <v>0.0</v>
      </c>
    </row>
    <row r="21" ht="22.5" customHeight="1">
      <c r="A21" s="2" t="s">
        <v>11</v>
      </c>
      <c r="B21" s="2" t="s">
        <v>20</v>
      </c>
      <c r="C21" s="2" t="s">
        <v>21</v>
      </c>
      <c r="D21" s="3">
        <v>1.0</v>
      </c>
    </row>
    <row r="22" ht="22.5" customHeight="1">
      <c r="A22" s="2" t="s">
        <v>12</v>
      </c>
      <c r="B22" s="2" t="s">
        <v>20</v>
      </c>
      <c r="C22" s="2" t="s">
        <v>21</v>
      </c>
      <c r="D22" s="3">
        <v>0.0</v>
      </c>
    </row>
    <row r="23" ht="22.5" customHeight="1">
      <c r="A23" s="2" t="s">
        <v>13</v>
      </c>
      <c r="B23" s="2" t="s">
        <v>20</v>
      </c>
      <c r="C23" s="2" t="s">
        <v>21</v>
      </c>
      <c r="D23" s="3">
        <v>1.0</v>
      </c>
    </row>
    <row r="24" ht="22.5" customHeight="1">
      <c r="A24" s="2" t="s">
        <v>14</v>
      </c>
      <c r="B24" s="2" t="s">
        <v>20</v>
      </c>
      <c r="C24" s="2" t="s">
        <v>21</v>
      </c>
      <c r="D24" s="3">
        <v>1.0</v>
      </c>
    </row>
    <row r="25" ht="22.5" customHeight="1">
      <c r="A25" s="2" t="s">
        <v>15</v>
      </c>
      <c r="B25" s="2" t="s">
        <v>20</v>
      </c>
      <c r="C25" s="2" t="s">
        <v>21</v>
      </c>
      <c r="D25" s="3">
        <v>1.0</v>
      </c>
    </row>
    <row r="26" ht="22.5" customHeight="1">
      <c r="A26" s="2" t="s">
        <v>16</v>
      </c>
      <c r="B26" s="2" t="s">
        <v>20</v>
      </c>
      <c r="C26" s="2" t="s">
        <v>21</v>
      </c>
      <c r="D26" s="3">
        <v>1.0</v>
      </c>
    </row>
    <row r="27" ht="22.5" customHeight="1">
      <c r="A27" s="2" t="s">
        <v>17</v>
      </c>
      <c r="B27" s="2" t="s">
        <v>20</v>
      </c>
      <c r="C27" s="2" t="s">
        <v>21</v>
      </c>
      <c r="D27" s="3">
        <v>0.0</v>
      </c>
    </row>
    <row r="28" ht="22.5" customHeight="1">
      <c r="A28" s="2" t="s">
        <v>18</v>
      </c>
      <c r="B28" s="2" t="s">
        <v>20</v>
      </c>
      <c r="C28" s="2" t="s">
        <v>21</v>
      </c>
      <c r="D28" s="3">
        <v>1.0</v>
      </c>
    </row>
    <row r="29" ht="22.5" customHeight="1">
      <c r="A29" s="2" t="s">
        <v>19</v>
      </c>
      <c r="B29" s="2" t="s">
        <v>20</v>
      </c>
      <c r="C29" s="2" t="s">
        <v>21</v>
      </c>
      <c r="D29" s="3">
        <v>1.0</v>
      </c>
    </row>
    <row r="30" ht="22.5" customHeight="1">
      <c r="A30" s="2" t="s">
        <v>12</v>
      </c>
      <c r="B30" s="2" t="s">
        <v>22</v>
      </c>
      <c r="C30" s="2" t="s">
        <v>23</v>
      </c>
      <c r="D30" s="3">
        <v>1.0</v>
      </c>
    </row>
    <row r="31" ht="22.5" customHeight="1">
      <c r="A31" s="2" t="s">
        <v>13</v>
      </c>
      <c r="B31" s="2" t="s">
        <v>22</v>
      </c>
      <c r="C31" s="2" t="s">
        <v>23</v>
      </c>
      <c r="D31" s="3">
        <v>1.0</v>
      </c>
    </row>
    <row r="32" ht="22.5" customHeight="1">
      <c r="A32" s="2" t="s">
        <v>14</v>
      </c>
      <c r="B32" s="2" t="s">
        <v>22</v>
      </c>
      <c r="C32" s="2" t="s">
        <v>23</v>
      </c>
      <c r="D32" s="3">
        <v>1.0</v>
      </c>
    </row>
    <row r="33" ht="22.5" customHeight="1">
      <c r="A33" s="2" t="s">
        <v>15</v>
      </c>
      <c r="B33" s="2" t="s">
        <v>22</v>
      </c>
      <c r="C33" s="2" t="s">
        <v>23</v>
      </c>
      <c r="D33" s="3">
        <v>0.0</v>
      </c>
    </row>
    <row r="34" ht="22.5" customHeight="1">
      <c r="A34" s="2" t="s">
        <v>10</v>
      </c>
      <c r="B34" s="2" t="s">
        <v>22</v>
      </c>
      <c r="C34" s="2" t="s">
        <v>23</v>
      </c>
      <c r="D34" s="3">
        <v>1.0</v>
      </c>
    </row>
    <row r="35" ht="22.5" customHeight="1">
      <c r="A35" s="2" t="s">
        <v>12</v>
      </c>
      <c r="B35" s="2" t="s">
        <v>22</v>
      </c>
      <c r="C35" s="2" t="s">
        <v>23</v>
      </c>
      <c r="D35" s="3">
        <v>0.0</v>
      </c>
    </row>
    <row r="36" ht="22.5" customHeight="1">
      <c r="A36" s="2" t="s">
        <v>15</v>
      </c>
      <c r="B36" s="2" t="s">
        <v>22</v>
      </c>
      <c r="C36" s="2" t="s">
        <v>23</v>
      </c>
      <c r="D36" s="3">
        <v>1.0</v>
      </c>
    </row>
    <row r="37" ht="22.5" customHeight="1">
      <c r="A37" s="2" t="s">
        <v>17</v>
      </c>
      <c r="B37" s="2" t="s">
        <v>22</v>
      </c>
      <c r="C37" s="2" t="s">
        <v>23</v>
      </c>
      <c r="D37" s="3">
        <v>1.0</v>
      </c>
    </row>
    <row r="38" ht="22.5" customHeight="1">
      <c r="A38" s="2" t="s">
        <v>18</v>
      </c>
      <c r="B38" s="2" t="s">
        <v>22</v>
      </c>
      <c r="C38" s="2" t="s">
        <v>23</v>
      </c>
      <c r="D38" s="3">
        <v>0.0</v>
      </c>
    </row>
    <row r="39" ht="22.5" customHeight="1">
      <c r="A39" s="2" t="s">
        <v>11</v>
      </c>
      <c r="B39" s="2" t="s">
        <v>22</v>
      </c>
      <c r="C39" s="2" t="s">
        <v>23</v>
      </c>
      <c r="D39" s="3">
        <v>1.0</v>
      </c>
    </row>
    <row r="40" ht="22.5" customHeight="1">
      <c r="A40" s="2" t="s">
        <v>13</v>
      </c>
      <c r="B40" s="2" t="s">
        <v>22</v>
      </c>
      <c r="C40" s="2" t="s">
        <v>23</v>
      </c>
      <c r="D40" s="3">
        <v>0.0</v>
      </c>
    </row>
    <row r="41" ht="22.5" customHeight="1">
      <c r="A41" s="2" t="s">
        <v>14</v>
      </c>
      <c r="B41" s="2" t="s">
        <v>22</v>
      </c>
      <c r="C41" s="2" t="s">
        <v>23</v>
      </c>
      <c r="D41" s="3">
        <v>1.0</v>
      </c>
    </row>
    <row r="42" ht="22.5" customHeight="1">
      <c r="A42" s="2" t="s">
        <v>16</v>
      </c>
      <c r="B42" s="2" t="s">
        <v>22</v>
      </c>
      <c r="C42" s="2" t="s">
        <v>23</v>
      </c>
      <c r="D42" s="3">
        <v>1.0</v>
      </c>
    </row>
    <row r="43" ht="22.5" customHeight="1">
      <c r="A43" s="2" t="s">
        <v>19</v>
      </c>
      <c r="B43" s="2" t="s">
        <v>22</v>
      </c>
      <c r="C43" s="2" t="s">
        <v>23</v>
      </c>
      <c r="D43" s="3">
        <v>1.0</v>
      </c>
    </row>
    <row r="44" ht="22.5" customHeight="1">
      <c r="A44" s="2" t="s">
        <v>4</v>
      </c>
      <c r="B44" s="2" t="s">
        <v>24</v>
      </c>
      <c r="C44" s="2" t="s">
        <v>6</v>
      </c>
      <c r="D44" s="3">
        <v>0.0</v>
      </c>
    </row>
    <row r="45" ht="22.5" customHeight="1">
      <c r="A45" s="2" t="s">
        <v>7</v>
      </c>
      <c r="B45" s="2" t="s">
        <v>24</v>
      </c>
      <c r="C45" s="2" t="s">
        <v>6</v>
      </c>
      <c r="D45" s="3">
        <v>0.0</v>
      </c>
    </row>
    <row r="46" ht="22.5" customHeight="1">
      <c r="A46" s="2" t="s">
        <v>8</v>
      </c>
      <c r="B46" s="2" t="s">
        <v>24</v>
      </c>
      <c r="C46" s="2" t="s">
        <v>6</v>
      </c>
      <c r="D46" s="3">
        <v>1.0</v>
      </c>
    </row>
    <row r="47" ht="22.5" customHeight="1">
      <c r="A47" s="2" t="s">
        <v>9</v>
      </c>
      <c r="B47" s="2" t="s">
        <v>24</v>
      </c>
      <c r="C47" s="2" t="s">
        <v>6</v>
      </c>
      <c r="D47" s="3">
        <v>1.0</v>
      </c>
    </row>
    <row r="48" ht="22.5" customHeight="1">
      <c r="A48" s="2" t="s">
        <v>10</v>
      </c>
      <c r="B48" s="2" t="s">
        <v>24</v>
      </c>
      <c r="C48" s="2" t="s">
        <v>6</v>
      </c>
      <c r="D48" s="3">
        <v>1.0</v>
      </c>
    </row>
    <row r="49" ht="22.5" customHeight="1">
      <c r="A49" s="2" t="s">
        <v>11</v>
      </c>
      <c r="B49" s="2" t="s">
        <v>24</v>
      </c>
      <c r="C49" s="2" t="s">
        <v>6</v>
      </c>
      <c r="D49" s="3">
        <v>1.0</v>
      </c>
    </row>
    <row r="50" ht="22.5" customHeight="1">
      <c r="A50" s="2" t="s">
        <v>12</v>
      </c>
      <c r="B50" s="2" t="s">
        <v>24</v>
      </c>
      <c r="C50" s="2" t="s">
        <v>6</v>
      </c>
      <c r="D50" s="3">
        <v>0.0</v>
      </c>
    </row>
    <row r="51" ht="22.5" customHeight="1">
      <c r="A51" s="2" t="s">
        <v>13</v>
      </c>
      <c r="B51" s="2" t="s">
        <v>24</v>
      </c>
      <c r="C51" s="2" t="s">
        <v>6</v>
      </c>
      <c r="D51" s="3">
        <v>1.0</v>
      </c>
    </row>
    <row r="52" ht="22.5" customHeight="1">
      <c r="A52" s="2" t="s">
        <v>14</v>
      </c>
      <c r="B52" s="2" t="s">
        <v>24</v>
      </c>
      <c r="C52" s="2" t="s">
        <v>6</v>
      </c>
      <c r="D52" s="3">
        <v>0.0</v>
      </c>
    </row>
    <row r="53" ht="22.5" customHeight="1">
      <c r="A53" s="2" t="s">
        <v>15</v>
      </c>
      <c r="B53" s="2" t="s">
        <v>24</v>
      </c>
      <c r="C53" s="2" t="s">
        <v>6</v>
      </c>
      <c r="D53" s="3">
        <v>1.0</v>
      </c>
    </row>
    <row r="54" ht="22.5" customHeight="1">
      <c r="A54" s="2" t="s">
        <v>16</v>
      </c>
      <c r="B54" s="2" t="s">
        <v>24</v>
      </c>
      <c r="C54" s="2" t="s">
        <v>6</v>
      </c>
      <c r="D54" s="3">
        <v>1.0</v>
      </c>
    </row>
    <row r="55" ht="22.5" customHeight="1">
      <c r="A55" s="2" t="s">
        <v>17</v>
      </c>
      <c r="B55" s="2" t="s">
        <v>24</v>
      </c>
      <c r="C55" s="2" t="s">
        <v>6</v>
      </c>
      <c r="D55" s="3">
        <v>0.0</v>
      </c>
    </row>
    <row r="56" ht="22.5" customHeight="1">
      <c r="A56" s="2" t="s">
        <v>18</v>
      </c>
      <c r="B56" s="2" t="s">
        <v>24</v>
      </c>
      <c r="C56" s="2" t="s">
        <v>6</v>
      </c>
      <c r="D56" s="3">
        <v>1.0</v>
      </c>
    </row>
    <row r="57" ht="22.5" customHeight="1">
      <c r="A57" s="2" t="s">
        <v>19</v>
      </c>
      <c r="B57" s="2" t="s">
        <v>24</v>
      </c>
      <c r="C57" s="2" t="s">
        <v>6</v>
      </c>
      <c r="D57" s="3">
        <v>1.0</v>
      </c>
    </row>
    <row r="58" ht="22.5" customHeight="1">
      <c r="A58" s="2" t="s">
        <v>4</v>
      </c>
      <c r="B58" s="2" t="s">
        <v>25</v>
      </c>
      <c r="C58" s="2" t="s">
        <v>23</v>
      </c>
      <c r="D58" s="3">
        <v>0.0</v>
      </c>
    </row>
    <row r="59" ht="22.5" customHeight="1">
      <c r="A59" s="2" t="s">
        <v>7</v>
      </c>
      <c r="B59" s="2" t="s">
        <v>25</v>
      </c>
      <c r="C59" s="2" t="s">
        <v>23</v>
      </c>
      <c r="D59" s="3">
        <v>1.0</v>
      </c>
    </row>
    <row r="60" ht="22.5" customHeight="1">
      <c r="A60" s="2" t="s">
        <v>8</v>
      </c>
      <c r="B60" s="2" t="s">
        <v>25</v>
      </c>
      <c r="C60" s="2" t="s">
        <v>23</v>
      </c>
      <c r="D60" s="3">
        <v>1.0</v>
      </c>
    </row>
    <row r="61" ht="22.5" customHeight="1">
      <c r="A61" s="2" t="s">
        <v>9</v>
      </c>
      <c r="B61" s="2" t="s">
        <v>25</v>
      </c>
      <c r="C61" s="2" t="s">
        <v>23</v>
      </c>
      <c r="D61" s="3">
        <v>1.0</v>
      </c>
    </row>
    <row r="62" ht="22.5" customHeight="1">
      <c r="A62" s="2" t="s">
        <v>10</v>
      </c>
      <c r="B62" s="2" t="s">
        <v>25</v>
      </c>
      <c r="C62" s="2" t="s">
        <v>23</v>
      </c>
      <c r="D62" s="3">
        <v>0.0</v>
      </c>
    </row>
    <row r="63" ht="22.5" customHeight="1">
      <c r="A63" s="2" t="s">
        <v>11</v>
      </c>
      <c r="B63" s="2" t="s">
        <v>25</v>
      </c>
      <c r="C63" s="2" t="s">
        <v>23</v>
      </c>
      <c r="D63" s="3">
        <v>1.0</v>
      </c>
    </row>
    <row r="64" ht="22.5" customHeight="1">
      <c r="A64" s="2" t="s">
        <v>12</v>
      </c>
      <c r="B64" s="2" t="s">
        <v>25</v>
      </c>
      <c r="C64" s="2" t="s">
        <v>23</v>
      </c>
      <c r="D64" s="3">
        <v>1.0</v>
      </c>
    </row>
    <row r="65" ht="22.5" customHeight="1">
      <c r="A65" s="2" t="s">
        <v>13</v>
      </c>
      <c r="B65" s="2" t="s">
        <v>25</v>
      </c>
      <c r="C65" s="2" t="s">
        <v>23</v>
      </c>
      <c r="D65" s="3">
        <v>1.0</v>
      </c>
    </row>
    <row r="66" ht="22.5" customHeight="1">
      <c r="A66" s="2" t="s">
        <v>14</v>
      </c>
      <c r="B66" s="2" t="s">
        <v>25</v>
      </c>
      <c r="C66" s="2" t="s">
        <v>23</v>
      </c>
      <c r="D66" s="3">
        <v>1.0</v>
      </c>
    </row>
    <row r="67" ht="22.5" customHeight="1">
      <c r="A67" s="2" t="s">
        <v>15</v>
      </c>
      <c r="B67" s="2" t="s">
        <v>25</v>
      </c>
      <c r="C67" s="2" t="s">
        <v>23</v>
      </c>
      <c r="D67" s="3">
        <v>1.0</v>
      </c>
    </row>
    <row r="68" ht="22.5" customHeight="1">
      <c r="A68" s="2" t="s">
        <v>16</v>
      </c>
      <c r="B68" s="2" t="s">
        <v>25</v>
      </c>
      <c r="C68" s="2" t="s">
        <v>23</v>
      </c>
      <c r="D68" s="3">
        <v>1.0</v>
      </c>
    </row>
    <row r="69" ht="22.5" customHeight="1">
      <c r="A69" s="2" t="s">
        <v>17</v>
      </c>
      <c r="B69" s="2" t="s">
        <v>25</v>
      </c>
      <c r="C69" s="2" t="s">
        <v>23</v>
      </c>
      <c r="D69" s="3">
        <v>1.0</v>
      </c>
    </row>
    <row r="70" ht="22.5" customHeight="1">
      <c r="A70" s="2" t="s">
        <v>18</v>
      </c>
      <c r="B70" s="2" t="s">
        <v>25</v>
      </c>
      <c r="C70" s="2" t="s">
        <v>23</v>
      </c>
      <c r="D70" s="3">
        <v>1.0</v>
      </c>
    </row>
    <row r="71" ht="22.5" customHeight="1">
      <c r="A71" s="2" t="s">
        <v>19</v>
      </c>
      <c r="B71" s="2" t="s">
        <v>25</v>
      </c>
      <c r="C71" s="2" t="s">
        <v>23</v>
      </c>
      <c r="D71" s="3">
        <v>0.0</v>
      </c>
    </row>
    <row r="72" ht="22.5" customHeight="1">
      <c r="A72" s="2" t="s">
        <v>4</v>
      </c>
      <c r="B72" s="2" t="s">
        <v>26</v>
      </c>
      <c r="C72" s="2" t="s">
        <v>6</v>
      </c>
      <c r="D72" s="3">
        <v>1.0</v>
      </c>
    </row>
    <row r="73" ht="22.5" customHeight="1">
      <c r="A73" s="2" t="s">
        <v>7</v>
      </c>
      <c r="B73" s="2" t="s">
        <v>26</v>
      </c>
      <c r="C73" s="2" t="s">
        <v>6</v>
      </c>
      <c r="D73" s="3">
        <v>1.0</v>
      </c>
    </row>
    <row r="74" ht="22.5" customHeight="1">
      <c r="A74" s="2" t="s">
        <v>8</v>
      </c>
      <c r="B74" s="2" t="s">
        <v>26</v>
      </c>
      <c r="C74" s="2" t="s">
        <v>6</v>
      </c>
      <c r="D74" s="3">
        <v>1.0</v>
      </c>
    </row>
    <row r="75" ht="22.5" customHeight="1">
      <c r="A75" s="2" t="s">
        <v>9</v>
      </c>
      <c r="B75" s="2" t="s">
        <v>26</v>
      </c>
      <c r="C75" s="2" t="s">
        <v>6</v>
      </c>
      <c r="D75" s="3">
        <v>1.0</v>
      </c>
    </row>
    <row r="76" ht="22.5" customHeight="1">
      <c r="A76" s="2" t="s">
        <v>10</v>
      </c>
      <c r="B76" s="2" t="s">
        <v>26</v>
      </c>
      <c r="C76" s="2" t="s">
        <v>6</v>
      </c>
      <c r="D76" s="3">
        <v>0.0</v>
      </c>
    </row>
    <row r="77" ht="22.5" customHeight="1">
      <c r="A77" s="2" t="s">
        <v>11</v>
      </c>
      <c r="B77" s="2" t="s">
        <v>26</v>
      </c>
      <c r="C77" s="2" t="s">
        <v>6</v>
      </c>
      <c r="D77" s="3">
        <v>0.0</v>
      </c>
    </row>
    <row r="78" ht="22.5" customHeight="1">
      <c r="A78" s="2" t="s">
        <v>12</v>
      </c>
      <c r="B78" s="2" t="s">
        <v>26</v>
      </c>
      <c r="C78" s="2" t="s">
        <v>6</v>
      </c>
      <c r="D78" s="3">
        <v>1.0</v>
      </c>
    </row>
    <row r="79" ht="22.5" customHeight="1">
      <c r="A79" s="2" t="s">
        <v>13</v>
      </c>
      <c r="B79" s="2" t="s">
        <v>26</v>
      </c>
      <c r="C79" s="2" t="s">
        <v>6</v>
      </c>
      <c r="D79" s="3">
        <v>0.0</v>
      </c>
    </row>
    <row r="80" ht="22.5" customHeight="1">
      <c r="A80" s="2" t="s">
        <v>14</v>
      </c>
      <c r="B80" s="2" t="s">
        <v>26</v>
      </c>
      <c r="C80" s="2" t="s">
        <v>6</v>
      </c>
      <c r="D80" s="3">
        <v>0.0</v>
      </c>
    </row>
    <row r="81" ht="22.5" customHeight="1">
      <c r="A81" s="2" t="s">
        <v>15</v>
      </c>
      <c r="B81" s="2" t="s">
        <v>26</v>
      </c>
      <c r="C81" s="2" t="s">
        <v>6</v>
      </c>
      <c r="D81" s="3">
        <v>0.0</v>
      </c>
    </row>
    <row r="82" ht="22.5" customHeight="1">
      <c r="A82" s="2" t="s">
        <v>16</v>
      </c>
      <c r="B82" s="2" t="s">
        <v>26</v>
      </c>
      <c r="C82" s="2" t="s">
        <v>6</v>
      </c>
      <c r="D82" s="3">
        <v>1.0</v>
      </c>
    </row>
    <row r="83" ht="22.5" customHeight="1">
      <c r="A83" s="2" t="s">
        <v>17</v>
      </c>
      <c r="B83" s="2" t="s">
        <v>26</v>
      </c>
      <c r="C83" s="2" t="s">
        <v>6</v>
      </c>
      <c r="D83" s="3">
        <v>0.0</v>
      </c>
    </row>
    <row r="84" ht="22.5" customHeight="1">
      <c r="A84" s="2" t="s">
        <v>18</v>
      </c>
      <c r="B84" s="2" t="s">
        <v>26</v>
      </c>
      <c r="C84" s="2" t="s">
        <v>6</v>
      </c>
      <c r="D84" s="3">
        <v>1.0</v>
      </c>
    </row>
    <row r="85" ht="22.5" customHeight="1">
      <c r="A85" s="2" t="s">
        <v>19</v>
      </c>
      <c r="B85" s="2" t="s">
        <v>26</v>
      </c>
      <c r="C85" s="2" t="s">
        <v>6</v>
      </c>
      <c r="D85" s="3">
        <v>1.0</v>
      </c>
    </row>
    <row r="86" ht="22.5" customHeight="1">
      <c r="A86" s="2" t="s">
        <v>4</v>
      </c>
      <c r="B86" s="2" t="s">
        <v>27</v>
      </c>
      <c r="C86" s="2" t="s">
        <v>6</v>
      </c>
      <c r="D86" s="3">
        <v>1.0</v>
      </c>
    </row>
    <row r="87" ht="22.5" customHeight="1">
      <c r="A87" s="2" t="s">
        <v>7</v>
      </c>
      <c r="B87" s="2" t="s">
        <v>27</v>
      </c>
      <c r="C87" s="2" t="s">
        <v>6</v>
      </c>
      <c r="D87" s="3">
        <v>1.0</v>
      </c>
    </row>
    <row r="88" ht="22.5" customHeight="1">
      <c r="A88" s="2" t="s">
        <v>8</v>
      </c>
      <c r="B88" s="2" t="s">
        <v>27</v>
      </c>
      <c r="C88" s="2" t="s">
        <v>6</v>
      </c>
      <c r="D88" s="3">
        <v>1.0</v>
      </c>
    </row>
    <row r="89" ht="22.5" customHeight="1">
      <c r="A89" s="2" t="s">
        <v>9</v>
      </c>
      <c r="B89" s="2" t="s">
        <v>27</v>
      </c>
      <c r="C89" s="2" t="s">
        <v>6</v>
      </c>
      <c r="D89" s="3">
        <v>1.0</v>
      </c>
    </row>
    <row r="90" ht="22.5" customHeight="1">
      <c r="A90" s="2" t="s">
        <v>10</v>
      </c>
      <c r="B90" s="2" t="s">
        <v>27</v>
      </c>
      <c r="C90" s="2" t="s">
        <v>6</v>
      </c>
      <c r="D90" s="3">
        <v>1.0</v>
      </c>
    </row>
    <row r="91" ht="22.5" customHeight="1">
      <c r="A91" s="2" t="s">
        <v>11</v>
      </c>
      <c r="B91" s="2" t="s">
        <v>27</v>
      </c>
      <c r="C91" s="2" t="s">
        <v>6</v>
      </c>
      <c r="D91" s="3">
        <v>1.0</v>
      </c>
    </row>
    <row r="92" ht="22.5" customHeight="1">
      <c r="A92" s="2" t="s">
        <v>12</v>
      </c>
      <c r="B92" s="2" t="s">
        <v>27</v>
      </c>
      <c r="C92" s="2" t="s">
        <v>6</v>
      </c>
      <c r="D92" s="3">
        <v>1.0</v>
      </c>
    </row>
    <row r="93" ht="22.5" customHeight="1">
      <c r="A93" s="2" t="s">
        <v>13</v>
      </c>
      <c r="B93" s="2" t="s">
        <v>27</v>
      </c>
      <c r="C93" s="2" t="s">
        <v>6</v>
      </c>
      <c r="D93" s="3">
        <v>1.0</v>
      </c>
    </row>
    <row r="94" ht="22.5" customHeight="1">
      <c r="A94" s="2" t="s">
        <v>14</v>
      </c>
      <c r="B94" s="2" t="s">
        <v>27</v>
      </c>
      <c r="C94" s="2" t="s">
        <v>6</v>
      </c>
      <c r="D94" s="3">
        <v>1.0</v>
      </c>
    </row>
    <row r="95" ht="22.5" customHeight="1">
      <c r="A95" s="2" t="s">
        <v>15</v>
      </c>
      <c r="B95" s="2" t="s">
        <v>27</v>
      </c>
      <c r="C95" s="2" t="s">
        <v>6</v>
      </c>
      <c r="D95" s="3">
        <v>1.0</v>
      </c>
    </row>
    <row r="96" ht="22.5" customHeight="1">
      <c r="A96" s="2" t="s">
        <v>16</v>
      </c>
      <c r="B96" s="2" t="s">
        <v>27</v>
      </c>
      <c r="C96" s="2" t="s">
        <v>6</v>
      </c>
      <c r="D96" s="3">
        <v>1.0</v>
      </c>
    </row>
    <row r="97" ht="22.5" customHeight="1">
      <c r="A97" s="2" t="s">
        <v>17</v>
      </c>
      <c r="B97" s="2" t="s">
        <v>27</v>
      </c>
      <c r="C97" s="2" t="s">
        <v>6</v>
      </c>
      <c r="D97" s="3">
        <v>1.0</v>
      </c>
    </row>
    <row r="98" ht="22.5" customHeight="1">
      <c r="A98" s="2" t="s">
        <v>18</v>
      </c>
      <c r="B98" s="2" t="s">
        <v>27</v>
      </c>
      <c r="C98" s="2" t="s">
        <v>6</v>
      </c>
      <c r="D98" s="3">
        <v>1.0</v>
      </c>
    </row>
    <row r="99" ht="22.5" customHeight="1">
      <c r="A99" s="2" t="s">
        <v>19</v>
      </c>
      <c r="B99" s="2" t="s">
        <v>27</v>
      </c>
      <c r="C99" s="2" t="s">
        <v>6</v>
      </c>
      <c r="D99" s="3">
        <v>1.0</v>
      </c>
    </row>
    <row r="100" ht="22.5" customHeight="1">
      <c r="A100" s="2" t="s">
        <v>4</v>
      </c>
      <c r="B100" s="2" t="s">
        <v>28</v>
      </c>
      <c r="C100" s="2" t="s">
        <v>23</v>
      </c>
      <c r="D100" s="3">
        <v>1.0</v>
      </c>
    </row>
    <row r="101" ht="22.5" customHeight="1">
      <c r="A101" s="2" t="s">
        <v>7</v>
      </c>
      <c r="B101" s="2" t="s">
        <v>28</v>
      </c>
      <c r="C101" s="2" t="s">
        <v>23</v>
      </c>
      <c r="D101" s="3">
        <v>1.0</v>
      </c>
    </row>
    <row r="102" ht="22.5" customHeight="1">
      <c r="A102" s="2" t="s">
        <v>8</v>
      </c>
      <c r="B102" s="2" t="s">
        <v>28</v>
      </c>
      <c r="C102" s="2" t="s">
        <v>23</v>
      </c>
      <c r="D102" s="3">
        <v>1.0</v>
      </c>
    </row>
    <row r="103" ht="22.5" customHeight="1">
      <c r="A103" s="2" t="s">
        <v>9</v>
      </c>
      <c r="B103" s="2" t="s">
        <v>28</v>
      </c>
      <c r="C103" s="2" t="s">
        <v>23</v>
      </c>
      <c r="D103" s="3">
        <v>1.0</v>
      </c>
    </row>
    <row r="104" ht="22.5" customHeight="1">
      <c r="A104" s="2" t="s">
        <v>10</v>
      </c>
      <c r="B104" s="2" t="s">
        <v>28</v>
      </c>
      <c r="C104" s="2" t="s">
        <v>23</v>
      </c>
      <c r="D104" s="3">
        <v>0.0</v>
      </c>
    </row>
    <row r="105" ht="22.5" customHeight="1">
      <c r="A105" s="2" t="s">
        <v>11</v>
      </c>
      <c r="B105" s="2" t="s">
        <v>28</v>
      </c>
      <c r="C105" s="2" t="s">
        <v>23</v>
      </c>
      <c r="D105" s="3">
        <v>1.0</v>
      </c>
    </row>
    <row r="106" ht="22.5" customHeight="1">
      <c r="A106" s="2" t="s">
        <v>12</v>
      </c>
      <c r="B106" s="2" t="s">
        <v>28</v>
      </c>
      <c r="C106" s="2" t="s">
        <v>23</v>
      </c>
      <c r="D106" s="3">
        <v>0.0</v>
      </c>
    </row>
    <row r="107" ht="22.5" customHeight="1">
      <c r="A107" s="2" t="s">
        <v>13</v>
      </c>
      <c r="B107" s="2" t="s">
        <v>28</v>
      </c>
      <c r="C107" s="2" t="s">
        <v>23</v>
      </c>
      <c r="D107" s="3">
        <v>1.0</v>
      </c>
    </row>
    <row r="108" ht="22.5" customHeight="1">
      <c r="A108" s="2" t="s">
        <v>14</v>
      </c>
      <c r="B108" s="2" t="s">
        <v>28</v>
      </c>
      <c r="C108" s="2" t="s">
        <v>23</v>
      </c>
      <c r="D108" s="3">
        <v>0.0</v>
      </c>
    </row>
    <row r="109" ht="22.5" customHeight="1">
      <c r="A109" s="2" t="s">
        <v>15</v>
      </c>
      <c r="B109" s="2" t="s">
        <v>28</v>
      </c>
      <c r="C109" s="2" t="s">
        <v>23</v>
      </c>
      <c r="D109" s="3">
        <v>1.0</v>
      </c>
    </row>
    <row r="110" ht="22.5" customHeight="1">
      <c r="A110" s="2" t="s">
        <v>16</v>
      </c>
      <c r="B110" s="2" t="s">
        <v>28</v>
      </c>
      <c r="C110" s="2" t="s">
        <v>23</v>
      </c>
      <c r="D110" s="3">
        <v>0.0</v>
      </c>
    </row>
    <row r="111" ht="22.5" customHeight="1">
      <c r="A111" s="2" t="s">
        <v>17</v>
      </c>
      <c r="B111" s="2" t="s">
        <v>28</v>
      </c>
      <c r="C111" s="2" t="s">
        <v>23</v>
      </c>
      <c r="D111" s="3">
        <v>1.0</v>
      </c>
    </row>
    <row r="112" ht="22.5" customHeight="1">
      <c r="A112" s="2" t="s">
        <v>18</v>
      </c>
      <c r="B112" s="2" t="s">
        <v>28</v>
      </c>
      <c r="C112" s="2" t="s">
        <v>23</v>
      </c>
      <c r="D112" s="3">
        <v>1.0</v>
      </c>
    </row>
    <row r="113" ht="22.5" customHeight="1">
      <c r="A113" s="2" t="s">
        <v>19</v>
      </c>
      <c r="B113" s="2" t="s">
        <v>28</v>
      </c>
      <c r="C113" s="2" t="s">
        <v>23</v>
      </c>
      <c r="D113" s="3">
        <v>1.0</v>
      </c>
    </row>
    <row r="114" ht="22.5" customHeight="1">
      <c r="A114" s="2" t="s">
        <v>4</v>
      </c>
      <c r="B114" s="2" t="s">
        <v>29</v>
      </c>
      <c r="C114" s="2" t="s">
        <v>6</v>
      </c>
      <c r="D114" s="3">
        <v>0.0</v>
      </c>
    </row>
    <row r="115" ht="22.5" customHeight="1">
      <c r="A115" s="2" t="s">
        <v>7</v>
      </c>
      <c r="B115" s="2" t="s">
        <v>29</v>
      </c>
      <c r="C115" s="2" t="s">
        <v>6</v>
      </c>
      <c r="D115" s="3">
        <v>0.0</v>
      </c>
    </row>
    <row r="116" ht="22.5" customHeight="1">
      <c r="A116" s="2" t="s">
        <v>8</v>
      </c>
      <c r="B116" s="2" t="s">
        <v>29</v>
      </c>
      <c r="C116" s="2" t="s">
        <v>6</v>
      </c>
      <c r="D116" s="3">
        <v>0.0</v>
      </c>
    </row>
    <row r="117" ht="22.5" customHeight="1">
      <c r="A117" s="2" t="s">
        <v>9</v>
      </c>
      <c r="B117" s="2" t="s">
        <v>29</v>
      </c>
      <c r="C117" s="2" t="s">
        <v>6</v>
      </c>
      <c r="D117" s="3">
        <v>0.0</v>
      </c>
    </row>
    <row r="118" ht="22.5" customHeight="1">
      <c r="A118" s="2" t="s">
        <v>10</v>
      </c>
      <c r="B118" s="2" t="s">
        <v>29</v>
      </c>
      <c r="C118" s="2" t="s">
        <v>6</v>
      </c>
      <c r="D118" s="3">
        <v>0.0</v>
      </c>
    </row>
    <row r="119" ht="22.5" customHeight="1">
      <c r="A119" s="2" t="s">
        <v>11</v>
      </c>
      <c r="B119" s="2" t="s">
        <v>29</v>
      </c>
      <c r="C119" s="2" t="s">
        <v>6</v>
      </c>
      <c r="D119" s="3">
        <v>0.0</v>
      </c>
    </row>
    <row r="120" ht="22.5" customHeight="1">
      <c r="A120" s="2" t="s">
        <v>12</v>
      </c>
      <c r="B120" s="2" t="s">
        <v>29</v>
      </c>
      <c r="C120" s="2" t="s">
        <v>6</v>
      </c>
      <c r="D120" s="3">
        <v>1.0</v>
      </c>
    </row>
    <row r="121" ht="22.5" customHeight="1">
      <c r="A121" s="2" t="s">
        <v>13</v>
      </c>
      <c r="B121" s="2" t="s">
        <v>29</v>
      </c>
      <c r="C121" s="2" t="s">
        <v>6</v>
      </c>
      <c r="D121" s="3">
        <v>0.0</v>
      </c>
    </row>
    <row r="122" ht="22.5" customHeight="1">
      <c r="A122" s="2" t="s">
        <v>14</v>
      </c>
      <c r="B122" s="2" t="s">
        <v>29</v>
      </c>
      <c r="C122" s="2" t="s">
        <v>6</v>
      </c>
      <c r="D122" s="3">
        <v>0.0</v>
      </c>
    </row>
    <row r="123" ht="22.5" customHeight="1">
      <c r="A123" s="2" t="s">
        <v>15</v>
      </c>
      <c r="B123" s="2" t="s">
        <v>29</v>
      </c>
      <c r="C123" s="2" t="s">
        <v>6</v>
      </c>
      <c r="D123" s="3">
        <v>0.0</v>
      </c>
    </row>
    <row r="124" ht="22.5" customHeight="1">
      <c r="A124" s="2" t="s">
        <v>16</v>
      </c>
      <c r="B124" s="2" t="s">
        <v>29</v>
      </c>
      <c r="C124" s="2" t="s">
        <v>6</v>
      </c>
      <c r="D124" s="4">
        <v>0.0</v>
      </c>
    </row>
    <row r="125" ht="22.5" customHeight="1">
      <c r="A125" s="2" t="s">
        <v>17</v>
      </c>
      <c r="B125" s="2" t="s">
        <v>29</v>
      </c>
      <c r="C125" s="2" t="s">
        <v>6</v>
      </c>
      <c r="D125" s="4">
        <v>1.0</v>
      </c>
    </row>
    <row r="126" ht="22.5" customHeight="1">
      <c r="A126" s="2" t="s">
        <v>18</v>
      </c>
      <c r="B126" s="2" t="s">
        <v>29</v>
      </c>
      <c r="C126" s="2" t="s">
        <v>6</v>
      </c>
      <c r="D126" s="4">
        <v>1.0</v>
      </c>
    </row>
    <row r="127" ht="22.5" customHeight="1">
      <c r="A127" s="2" t="s">
        <v>19</v>
      </c>
      <c r="B127" s="2" t="s">
        <v>29</v>
      </c>
      <c r="C127" s="2" t="s">
        <v>6</v>
      </c>
      <c r="D127" s="4">
        <v>1.0</v>
      </c>
    </row>
    <row r="128" ht="22.5" customHeight="1">
      <c r="A128" s="5" t="s">
        <v>4</v>
      </c>
      <c r="B128" s="6" t="s">
        <v>28</v>
      </c>
      <c r="C128" s="2" t="s">
        <v>6</v>
      </c>
      <c r="D128" s="4">
        <v>1.0</v>
      </c>
    </row>
    <row r="129" ht="22.5" customHeight="1">
      <c r="A129" s="7" t="s">
        <v>7</v>
      </c>
      <c r="B129" s="6" t="s">
        <v>28</v>
      </c>
      <c r="C129" s="2" t="s">
        <v>6</v>
      </c>
      <c r="D129" s="4">
        <v>1.0</v>
      </c>
    </row>
    <row r="130" ht="22.5" customHeight="1">
      <c r="A130" s="5" t="s">
        <v>8</v>
      </c>
      <c r="B130" s="6" t="s">
        <v>28</v>
      </c>
      <c r="C130" s="2" t="s">
        <v>6</v>
      </c>
      <c r="D130" s="4">
        <v>1.0</v>
      </c>
    </row>
    <row r="131" ht="22.5" customHeight="1">
      <c r="A131" s="7" t="s">
        <v>9</v>
      </c>
      <c r="B131" s="6" t="s">
        <v>28</v>
      </c>
      <c r="C131" s="2" t="s">
        <v>6</v>
      </c>
      <c r="D131" s="4">
        <v>1.0</v>
      </c>
    </row>
    <row r="132" ht="22.5" customHeight="1">
      <c r="A132" s="5" t="s">
        <v>10</v>
      </c>
      <c r="B132" s="6" t="s">
        <v>28</v>
      </c>
      <c r="C132" s="2" t="s">
        <v>6</v>
      </c>
      <c r="D132" s="4">
        <v>0.0</v>
      </c>
    </row>
    <row r="133" ht="22.5" customHeight="1">
      <c r="A133" s="7" t="s">
        <v>11</v>
      </c>
      <c r="B133" s="6" t="s">
        <v>28</v>
      </c>
      <c r="C133" s="2" t="s">
        <v>6</v>
      </c>
      <c r="D133" s="4">
        <v>1.0</v>
      </c>
    </row>
    <row r="134" ht="22.5" customHeight="1">
      <c r="A134" s="5" t="s">
        <v>12</v>
      </c>
      <c r="B134" s="6" t="s">
        <v>28</v>
      </c>
      <c r="C134" s="2" t="s">
        <v>6</v>
      </c>
      <c r="D134" s="4">
        <v>1.0</v>
      </c>
    </row>
    <row r="135" ht="22.5" customHeight="1">
      <c r="A135" s="7" t="s">
        <v>13</v>
      </c>
      <c r="B135" s="6" t="s">
        <v>28</v>
      </c>
      <c r="C135" s="2" t="s">
        <v>6</v>
      </c>
      <c r="D135" s="4">
        <v>1.0</v>
      </c>
    </row>
    <row r="136" ht="22.5" customHeight="1">
      <c r="A136" s="5" t="s">
        <v>14</v>
      </c>
      <c r="B136" s="6" t="s">
        <v>28</v>
      </c>
      <c r="C136" s="2" t="s">
        <v>6</v>
      </c>
      <c r="D136" s="4">
        <v>0.0</v>
      </c>
    </row>
    <row r="137" ht="22.5" customHeight="1">
      <c r="A137" s="7" t="s">
        <v>15</v>
      </c>
      <c r="B137" s="6" t="s">
        <v>28</v>
      </c>
      <c r="C137" s="2" t="s">
        <v>6</v>
      </c>
      <c r="D137" s="4">
        <v>0.0</v>
      </c>
    </row>
    <row r="138" ht="22.5" customHeight="1">
      <c r="A138" s="5" t="s">
        <v>16</v>
      </c>
      <c r="B138" s="6" t="s">
        <v>28</v>
      </c>
      <c r="C138" s="2" t="s">
        <v>6</v>
      </c>
      <c r="D138" s="4">
        <v>1.0</v>
      </c>
    </row>
    <row r="139" ht="22.5" customHeight="1">
      <c r="A139" s="7" t="s">
        <v>17</v>
      </c>
      <c r="B139" s="6" t="s">
        <v>28</v>
      </c>
      <c r="C139" s="2" t="s">
        <v>6</v>
      </c>
      <c r="D139" s="4">
        <v>0.0</v>
      </c>
    </row>
    <row r="140" ht="22.5" customHeight="1">
      <c r="A140" s="5" t="s">
        <v>18</v>
      </c>
      <c r="B140" s="6" t="s">
        <v>28</v>
      </c>
      <c r="C140" s="2" t="s">
        <v>6</v>
      </c>
      <c r="D140" s="4">
        <v>1.0</v>
      </c>
    </row>
    <row r="141" ht="22.5" customHeight="1">
      <c r="A141" s="7" t="s">
        <v>19</v>
      </c>
      <c r="B141" s="6" t="s">
        <v>28</v>
      </c>
      <c r="C141" s="2" t="s">
        <v>6</v>
      </c>
      <c r="D141" s="4">
        <v>1.0</v>
      </c>
    </row>
    <row r="142" ht="22.5" customHeight="1">
      <c r="A142" s="5" t="s">
        <v>4</v>
      </c>
      <c r="B142" s="6" t="s">
        <v>30</v>
      </c>
      <c r="C142" s="6" t="s">
        <v>23</v>
      </c>
      <c r="D142" s="4">
        <v>1.0</v>
      </c>
    </row>
    <row r="143" ht="22.5" customHeight="1">
      <c r="A143" s="5" t="s">
        <v>8</v>
      </c>
      <c r="B143" s="6" t="s">
        <v>30</v>
      </c>
      <c r="C143" s="6" t="s">
        <v>23</v>
      </c>
      <c r="D143" s="4">
        <v>1.0</v>
      </c>
    </row>
    <row r="144" ht="22.5" customHeight="1">
      <c r="A144" s="7" t="s">
        <v>9</v>
      </c>
      <c r="B144" s="6" t="s">
        <v>30</v>
      </c>
      <c r="C144" s="6" t="s">
        <v>23</v>
      </c>
      <c r="D144" s="4">
        <v>1.0</v>
      </c>
    </row>
    <row r="145" ht="22.5" customHeight="1">
      <c r="A145" s="7" t="s">
        <v>11</v>
      </c>
      <c r="B145" s="6" t="s">
        <v>30</v>
      </c>
      <c r="C145" s="6" t="s">
        <v>23</v>
      </c>
      <c r="D145" s="4">
        <v>1.0</v>
      </c>
    </row>
    <row r="146" ht="22.5" customHeight="1">
      <c r="A146" s="5" t="s">
        <v>12</v>
      </c>
      <c r="B146" s="6" t="s">
        <v>30</v>
      </c>
      <c r="C146" s="6" t="s">
        <v>23</v>
      </c>
      <c r="D146" s="4">
        <v>1.0</v>
      </c>
    </row>
    <row r="147" ht="22.5" customHeight="1">
      <c r="A147" s="5" t="s">
        <v>14</v>
      </c>
      <c r="B147" s="8" t="s">
        <v>30</v>
      </c>
      <c r="C147" s="9" t="s">
        <v>23</v>
      </c>
      <c r="D147" s="10">
        <v>1.0</v>
      </c>
    </row>
    <row r="148" ht="22.5" customHeight="1">
      <c r="A148" s="7" t="s">
        <v>19</v>
      </c>
      <c r="B148" s="6" t="s">
        <v>31</v>
      </c>
      <c r="C148" s="6" t="s">
        <v>23</v>
      </c>
      <c r="D148" s="4">
        <v>1.0</v>
      </c>
    </row>
    <row r="149" ht="22.5" customHeight="1">
      <c r="A149" s="5" t="s">
        <v>4</v>
      </c>
      <c r="B149" s="6" t="s">
        <v>32</v>
      </c>
      <c r="C149" s="6" t="s">
        <v>33</v>
      </c>
      <c r="D149" s="4">
        <v>1.0</v>
      </c>
    </row>
    <row r="150" ht="22.5" customHeight="1">
      <c r="A150" s="7" t="s">
        <v>7</v>
      </c>
      <c r="B150" s="6" t="s">
        <v>32</v>
      </c>
      <c r="C150" s="6" t="s">
        <v>33</v>
      </c>
      <c r="D150" s="4">
        <v>1.0</v>
      </c>
    </row>
    <row r="151" ht="22.5" customHeight="1">
      <c r="A151" s="5" t="s">
        <v>8</v>
      </c>
      <c r="B151" s="6" t="s">
        <v>32</v>
      </c>
      <c r="C151" s="6" t="s">
        <v>33</v>
      </c>
      <c r="D151" s="4">
        <v>0.0</v>
      </c>
    </row>
    <row r="152" ht="22.5" customHeight="1">
      <c r="A152" s="7" t="s">
        <v>9</v>
      </c>
      <c r="B152" s="6" t="s">
        <v>32</v>
      </c>
      <c r="C152" s="6" t="s">
        <v>33</v>
      </c>
      <c r="D152" s="4">
        <v>1.0</v>
      </c>
    </row>
    <row r="153" ht="22.5" customHeight="1">
      <c r="A153" s="5" t="s">
        <v>10</v>
      </c>
      <c r="B153" s="6" t="s">
        <v>32</v>
      </c>
      <c r="C153" s="6" t="s">
        <v>33</v>
      </c>
      <c r="D153" s="4">
        <v>0.0</v>
      </c>
    </row>
    <row r="154" ht="22.5" customHeight="1">
      <c r="A154" s="7" t="s">
        <v>11</v>
      </c>
      <c r="B154" s="6" t="s">
        <v>32</v>
      </c>
      <c r="C154" s="6" t="s">
        <v>33</v>
      </c>
      <c r="D154" s="4">
        <v>0.0</v>
      </c>
    </row>
    <row r="155" ht="22.5" customHeight="1">
      <c r="A155" s="5" t="s">
        <v>12</v>
      </c>
      <c r="B155" s="6" t="s">
        <v>32</v>
      </c>
      <c r="C155" s="6" t="s">
        <v>33</v>
      </c>
      <c r="D155" s="4">
        <v>1.0</v>
      </c>
    </row>
    <row r="156" ht="22.5" customHeight="1">
      <c r="A156" s="7" t="s">
        <v>13</v>
      </c>
      <c r="B156" s="6" t="s">
        <v>32</v>
      </c>
      <c r="C156" s="6" t="s">
        <v>33</v>
      </c>
      <c r="D156" s="4">
        <v>0.0</v>
      </c>
    </row>
    <row r="157" ht="22.5" customHeight="1">
      <c r="A157" s="5" t="s">
        <v>14</v>
      </c>
      <c r="B157" s="6" t="s">
        <v>32</v>
      </c>
      <c r="C157" s="6" t="s">
        <v>33</v>
      </c>
      <c r="D157" s="4">
        <v>1.0</v>
      </c>
    </row>
    <row r="158" ht="22.5" customHeight="1">
      <c r="A158" s="7" t="s">
        <v>15</v>
      </c>
      <c r="B158" s="6" t="s">
        <v>32</v>
      </c>
      <c r="C158" s="6" t="s">
        <v>33</v>
      </c>
      <c r="D158" s="4">
        <v>0.0</v>
      </c>
    </row>
    <row r="159" ht="22.5" customHeight="1">
      <c r="A159" s="5" t="s">
        <v>16</v>
      </c>
      <c r="B159" s="6" t="s">
        <v>32</v>
      </c>
      <c r="C159" s="6" t="s">
        <v>33</v>
      </c>
      <c r="D159" s="4">
        <v>1.0</v>
      </c>
    </row>
    <row r="160" ht="22.5" customHeight="1">
      <c r="A160" s="7" t="s">
        <v>17</v>
      </c>
      <c r="B160" s="6" t="s">
        <v>32</v>
      </c>
      <c r="C160" s="6" t="s">
        <v>33</v>
      </c>
      <c r="D160" s="4">
        <v>1.0</v>
      </c>
    </row>
    <row r="161" ht="22.5" customHeight="1">
      <c r="A161" s="5" t="s">
        <v>18</v>
      </c>
      <c r="B161" s="6" t="s">
        <v>32</v>
      </c>
      <c r="C161" s="6" t="s">
        <v>33</v>
      </c>
      <c r="D161" s="4">
        <v>1.0</v>
      </c>
    </row>
    <row r="162" ht="22.5" customHeight="1">
      <c r="A162" s="7" t="s">
        <v>19</v>
      </c>
      <c r="B162" s="6" t="s">
        <v>32</v>
      </c>
      <c r="C162" s="6" t="s">
        <v>33</v>
      </c>
      <c r="D162" s="4">
        <v>1.0</v>
      </c>
    </row>
    <row r="163" ht="22.5" customHeight="1">
      <c r="A163" s="5" t="s">
        <v>4</v>
      </c>
      <c r="B163" s="6" t="s">
        <v>34</v>
      </c>
      <c r="C163" s="6" t="s">
        <v>33</v>
      </c>
      <c r="D163" s="4">
        <v>1.0</v>
      </c>
    </row>
    <row r="164" ht="22.5" customHeight="1">
      <c r="A164" s="7" t="s">
        <v>7</v>
      </c>
      <c r="B164" s="6" t="s">
        <v>34</v>
      </c>
      <c r="C164" s="6" t="s">
        <v>33</v>
      </c>
      <c r="D164" s="4">
        <v>1.0</v>
      </c>
    </row>
    <row r="165" ht="22.5" customHeight="1">
      <c r="A165" s="5" t="s">
        <v>8</v>
      </c>
      <c r="B165" s="6" t="s">
        <v>34</v>
      </c>
      <c r="C165" s="6" t="s">
        <v>33</v>
      </c>
      <c r="D165" s="4">
        <v>1.0</v>
      </c>
    </row>
    <row r="166" ht="22.5" customHeight="1">
      <c r="A166" s="7" t="s">
        <v>9</v>
      </c>
      <c r="B166" s="6" t="s">
        <v>34</v>
      </c>
      <c r="C166" s="6" t="s">
        <v>33</v>
      </c>
      <c r="D166" s="4">
        <v>0.0</v>
      </c>
    </row>
    <row r="167" ht="22.5" customHeight="1">
      <c r="A167" s="5" t="s">
        <v>10</v>
      </c>
      <c r="B167" s="6" t="s">
        <v>34</v>
      </c>
      <c r="C167" s="6" t="s">
        <v>33</v>
      </c>
      <c r="D167" s="4">
        <v>1.0</v>
      </c>
    </row>
    <row r="168" ht="22.5" customHeight="1">
      <c r="A168" s="7" t="s">
        <v>11</v>
      </c>
      <c r="B168" s="6" t="s">
        <v>34</v>
      </c>
      <c r="C168" s="6" t="s">
        <v>33</v>
      </c>
      <c r="D168" s="4">
        <v>1.0</v>
      </c>
    </row>
    <row r="169" ht="22.5" customHeight="1">
      <c r="A169" s="5" t="s">
        <v>12</v>
      </c>
      <c r="B169" s="6" t="s">
        <v>34</v>
      </c>
      <c r="C169" s="6" t="s">
        <v>33</v>
      </c>
      <c r="D169" s="4">
        <v>1.0</v>
      </c>
    </row>
    <row r="170" ht="22.5" customHeight="1">
      <c r="A170" s="7" t="s">
        <v>13</v>
      </c>
      <c r="B170" s="6" t="s">
        <v>34</v>
      </c>
      <c r="C170" s="6" t="s">
        <v>33</v>
      </c>
      <c r="D170" s="4">
        <v>1.0</v>
      </c>
    </row>
    <row r="171" ht="22.5" customHeight="1">
      <c r="A171" s="5" t="s">
        <v>14</v>
      </c>
      <c r="B171" s="6" t="s">
        <v>34</v>
      </c>
      <c r="C171" s="6" t="s">
        <v>33</v>
      </c>
      <c r="D171" s="4">
        <v>0.0</v>
      </c>
    </row>
    <row r="172" ht="22.5" customHeight="1">
      <c r="A172" s="7" t="s">
        <v>15</v>
      </c>
      <c r="B172" s="6" t="s">
        <v>34</v>
      </c>
      <c r="C172" s="6" t="s">
        <v>33</v>
      </c>
      <c r="D172" s="4">
        <v>0.0</v>
      </c>
    </row>
    <row r="173" ht="22.5" customHeight="1">
      <c r="A173" s="5" t="s">
        <v>16</v>
      </c>
      <c r="B173" s="6" t="s">
        <v>34</v>
      </c>
      <c r="C173" s="6" t="s">
        <v>33</v>
      </c>
      <c r="D173" s="4">
        <v>0.0</v>
      </c>
    </row>
    <row r="174" ht="22.5" customHeight="1">
      <c r="A174" s="7" t="s">
        <v>17</v>
      </c>
      <c r="B174" s="6" t="s">
        <v>34</v>
      </c>
      <c r="C174" s="6" t="s">
        <v>33</v>
      </c>
      <c r="D174" s="4">
        <v>1.0</v>
      </c>
    </row>
    <row r="175" ht="22.5" customHeight="1">
      <c r="A175" s="5" t="s">
        <v>18</v>
      </c>
      <c r="B175" s="6" t="s">
        <v>34</v>
      </c>
      <c r="C175" s="6" t="s">
        <v>33</v>
      </c>
      <c r="D175" s="4">
        <v>1.0</v>
      </c>
    </row>
    <row r="176" ht="22.5" customHeight="1">
      <c r="A176" s="7" t="s">
        <v>19</v>
      </c>
      <c r="B176" s="6" t="s">
        <v>34</v>
      </c>
      <c r="C176" s="6" t="s">
        <v>33</v>
      </c>
      <c r="D176" s="4">
        <v>0.0</v>
      </c>
    </row>
    <row r="177" ht="22.5" customHeight="1">
      <c r="A177" s="5" t="s">
        <v>4</v>
      </c>
      <c r="B177" s="6" t="s">
        <v>35</v>
      </c>
      <c r="C177" s="6" t="s">
        <v>33</v>
      </c>
      <c r="D177" s="4">
        <v>1.0</v>
      </c>
    </row>
    <row r="178" ht="22.5" customHeight="1">
      <c r="A178" s="7" t="s">
        <v>7</v>
      </c>
      <c r="B178" s="6" t="s">
        <v>35</v>
      </c>
      <c r="C178" s="6" t="s">
        <v>33</v>
      </c>
      <c r="D178" s="4">
        <v>1.0</v>
      </c>
    </row>
    <row r="179" ht="22.5" customHeight="1">
      <c r="A179" s="5" t="s">
        <v>8</v>
      </c>
      <c r="B179" s="6" t="s">
        <v>35</v>
      </c>
      <c r="C179" s="6" t="s">
        <v>33</v>
      </c>
      <c r="D179" s="4">
        <v>0.0</v>
      </c>
    </row>
    <row r="180" ht="22.5" customHeight="1">
      <c r="A180" s="7" t="s">
        <v>9</v>
      </c>
      <c r="B180" s="6" t="s">
        <v>35</v>
      </c>
      <c r="C180" s="6" t="s">
        <v>33</v>
      </c>
      <c r="D180" s="4">
        <v>1.0</v>
      </c>
    </row>
    <row r="181" ht="22.5" customHeight="1">
      <c r="A181" s="5" t="s">
        <v>10</v>
      </c>
      <c r="B181" s="6" t="s">
        <v>35</v>
      </c>
      <c r="C181" s="6" t="s">
        <v>33</v>
      </c>
      <c r="D181" s="4">
        <v>1.0</v>
      </c>
    </row>
    <row r="182" ht="22.5" customHeight="1">
      <c r="A182" s="7" t="s">
        <v>11</v>
      </c>
      <c r="B182" s="6" t="s">
        <v>35</v>
      </c>
      <c r="C182" s="6" t="s">
        <v>33</v>
      </c>
      <c r="D182" s="4">
        <v>1.0</v>
      </c>
    </row>
    <row r="183" ht="22.5" customHeight="1">
      <c r="A183" s="5" t="s">
        <v>12</v>
      </c>
      <c r="B183" s="6" t="s">
        <v>35</v>
      </c>
      <c r="C183" s="6" t="s">
        <v>33</v>
      </c>
      <c r="D183" s="4">
        <v>1.0</v>
      </c>
    </row>
    <row r="184" ht="22.5" customHeight="1">
      <c r="A184" s="7" t="s">
        <v>13</v>
      </c>
      <c r="B184" s="6" t="s">
        <v>35</v>
      </c>
      <c r="C184" s="6" t="s">
        <v>33</v>
      </c>
      <c r="D184" s="4">
        <v>0.0</v>
      </c>
    </row>
    <row r="185" ht="22.5" customHeight="1">
      <c r="A185" s="5" t="s">
        <v>14</v>
      </c>
      <c r="B185" s="6" t="s">
        <v>35</v>
      </c>
      <c r="C185" s="6" t="s">
        <v>33</v>
      </c>
      <c r="D185" s="4">
        <v>1.0</v>
      </c>
    </row>
    <row r="186" ht="22.5" customHeight="1">
      <c r="A186" s="7" t="s">
        <v>15</v>
      </c>
      <c r="B186" s="6" t="s">
        <v>35</v>
      </c>
      <c r="C186" s="6" t="s">
        <v>33</v>
      </c>
      <c r="D186" s="4">
        <v>1.0</v>
      </c>
    </row>
    <row r="187" ht="22.5" customHeight="1">
      <c r="A187" s="5" t="s">
        <v>16</v>
      </c>
      <c r="B187" s="6" t="s">
        <v>35</v>
      </c>
      <c r="C187" s="6" t="s">
        <v>33</v>
      </c>
      <c r="D187" s="4">
        <v>1.0</v>
      </c>
    </row>
    <row r="188" ht="22.5" customHeight="1">
      <c r="A188" s="7" t="s">
        <v>17</v>
      </c>
      <c r="B188" s="6" t="s">
        <v>35</v>
      </c>
      <c r="C188" s="6" t="s">
        <v>33</v>
      </c>
      <c r="D188" s="4">
        <v>0.0</v>
      </c>
    </row>
    <row r="189" ht="22.5" customHeight="1">
      <c r="A189" s="5" t="s">
        <v>18</v>
      </c>
      <c r="B189" s="6" t="s">
        <v>35</v>
      </c>
      <c r="C189" s="6" t="s">
        <v>33</v>
      </c>
      <c r="D189" s="4">
        <v>0.0</v>
      </c>
    </row>
    <row r="190" ht="22.5" customHeight="1">
      <c r="A190" s="7" t="s">
        <v>19</v>
      </c>
      <c r="B190" s="6" t="s">
        <v>35</v>
      </c>
      <c r="C190" s="6" t="s">
        <v>33</v>
      </c>
      <c r="D190" s="4">
        <v>0.0</v>
      </c>
    </row>
    <row r="191" ht="22.5" customHeight="1">
      <c r="A191" s="5" t="s">
        <v>4</v>
      </c>
      <c r="B191" s="6" t="s">
        <v>36</v>
      </c>
      <c r="C191" s="6" t="s">
        <v>33</v>
      </c>
      <c r="D191" s="4">
        <v>0.0</v>
      </c>
    </row>
    <row r="192" ht="22.5" customHeight="1">
      <c r="A192" s="7" t="s">
        <v>7</v>
      </c>
      <c r="B192" s="6" t="s">
        <v>36</v>
      </c>
      <c r="C192" s="6" t="s">
        <v>33</v>
      </c>
      <c r="D192" s="4">
        <v>0.0</v>
      </c>
    </row>
    <row r="193" ht="22.5" customHeight="1">
      <c r="A193" s="5" t="s">
        <v>8</v>
      </c>
      <c r="B193" s="6" t="s">
        <v>36</v>
      </c>
      <c r="C193" s="6" t="s">
        <v>33</v>
      </c>
      <c r="D193" s="4">
        <v>1.0</v>
      </c>
    </row>
    <row r="194" ht="22.5" customHeight="1">
      <c r="A194" s="7" t="s">
        <v>9</v>
      </c>
      <c r="B194" s="6" t="s">
        <v>36</v>
      </c>
      <c r="C194" s="6" t="s">
        <v>33</v>
      </c>
      <c r="D194" s="4">
        <v>1.0</v>
      </c>
    </row>
    <row r="195" ht="22.5" customHeight="1">
      <c r="A195" s="5" t="s">
        <v>10</v>
      </c>
      <c r="B195" s="6" t="s">
        <v>36</v>
      </c>
      <c r="C195" s="6" t="s">
        <v>33</v>
      </c>
      <c r="D195" s="4">
        <v>1.0</v>
      </c>
    </row>
    <row r="196" ht="22.5" customHeight="1">
      <c r="A196" s="7" t="s">
        <v>11</v>
      </c>
      <c r="B196" s="6" t="s">
        <v>36</v>
      </c>
      <c r="C196" s="6" t="s">
        <v>33</v>
      </c>
      <c r="D196" s="4">
        <v>0.0</v>
      </c>
    </row>
    <row r="197" ht="22.5" customHeight="1">
      <c r="A197" s="5" t="s">
        <v>12</v>
      </c>
      <c r="B197" s="6" t="s">
        <v>36</v>
      </c>
      <c r="C197" s="6" t="s">
        <v>33</v>
      </c>
      <c r="D197" s="4">
        <v>0.0</v>
      </c>
    </row>
    <row r="198" ht="22.5" customHeight="1">
      <c r="A198" s="7" t="s">
        <v>13</v>
      </c>
      <c r="B198" s="6" t="s">
        <v>36</v>
      </c>
      <c r="C198" s="6" t="s">
        <v>33</v>
      </c>
      <c r="D198" s="4">
        <v>1.0</v>
      </c>
    </row>
    <row r="199" ht="22.5" customHeight="1">
      <c r="A199" s="5" t="s">
        <v>14</v>
      </c>
      <c r="B199" s="6" t="s">
        <v>36</v>
      </c>
      <c r="C199" s="6" t="s">
        <v>33</v>
      </c>
      <c r="D199" s="4">
        <v>0.0</v>
      </c>
    </row>
    <row r="200" ht="22.5" customHeight="1">
      <c r="A200" s="7" t="s">
        <v>15</v>
      </c>
      <c r="B200" s="6" t="s">
        <v>36</v>
      </c>
      <c r="C200" s="6" t="s">
        <v>33</v>
      </c>
      <c r="D200" s="4">
        <v>0.0</v>
      </c>
    </row>
    <row r="201" ht="22.5" customHeight="1">
      <c r="A201" s="5" t="s">
        <v>16</v>
      </c>
      <c r="B201" s="6" t="s">
        <v>36</v>
      </c>
      <c r="C201" s="6" t="s">
        <v>33</v>
      </c>
      <c r="D201" s="4">
        <v>1.0</v>
      </c>
    </row>
    <row r="202" ht="22.5" customHeight="1">
      <c r="A202" s="7" t="s">
        <v>17</v>
      </c>
      <c r="B202" s="6" t="s">
        <v>36</v>
      </c>
      <c r="C202" s="6" t="s">
        <v>33</v>
      </c>
      <c r="D202" s="4">
        <v>1.0</v>
      </c>
    </row>
    <row r="203" ht="22.5" customHeight="1">
      <c r="A203" s="5" t="s">
        <v>18</v>
      </c>
      <c r="B203" s="6" t="s">
        <v>36</v>
      </c>
      <c r="C203" s="6" t="s">
        <v>33</v>
      </c>
      <c r="D203" s="4">
        <v>0.0</v>
      </c>
    </row>
    <row r="204" ht="22.5" customHeight="1">
      <c r="A204" s="7" t="s">
        <v>19</v>
      </c>
      <c r="B204" s="6" t="s">
        <v>36</v>
      </c>
      <c r="C204" s="6" t="s">
        <v>33</v>
      </c>
      <c r="D204" s="4">
        <v>1.0</v>
      </c>
    </row>
    <row r="205" ht="22.5" customHeight="1">
      <c r="A205" s="5" t="s">
        <v>4</v>
      </c>
      <c r="B205" s="6" t="s">
        <v>37</v>
      </c>
      <c r="C205" s="6" t="s">
        <v>33</v>
      </c>
      <c r="D205" s="4">
        <v>1.0</v>
      </c>
    </row>
    <row r="206" ht="22.5" customHeight="1">
      <c r="A206" s="7" t="s">
        <v>7</v>
      </c>
      <c r="B206" s="6" t="s">
        <v>37</v>
      </c>
      <c r="C206" s="6" t="s">
        <v>33</v>
      </c>
      <c r="D206" s="4">
        <v>1.0</v>
      </c>
    </row>
    <row r="207" ht="22.5" customHeight="1">
      <c r="A207" s="5" t="s">
        <v>8</v>
      </c>
      <c r="B207" s="6" t="s">
        <v>37</v>
      </c>
      <c r="C207" s="6" t="s">
        <v>33</v>
      </c>
      <c r="D207" s="4">
        <v>1.0</v>
      </c>
    </row>
    <row r="208" ht="22.5" customHeight="1">
      <c r="A208" s="7" t="s">
        <v>9</v>
      </c>
      <c r="B208" s="6" t="s">
        <v>37</v>
      </c>
      <c r="C208" s="6" t="s">
        <v>33</v>
      </c>
      <c r="D208" s="4">
        <v>1.0</v>
      </c>
    </row>
    <row r="209" ht="22.5" customHeight="1">
      <c r="A209" s="5" t="s">
        <v>10</v>
      </c>
      <c r="B209" s="6" t="s">
        <v>37</v>
      </c>
      <c r="C209" s="6" t="s">
        <v>33</v>
      </c>
      <c r="D209" s="4">
        <v>0.0</v>
      </c>
    </row>
    <row r="210" ht="22.5" customHeight="1">
      <c r="A210" s="7" t="s">
        <v>11</v>
      </c>
      <c r="B210" s="6" t="s">
        <v>37</v>
      </c>
      <c r="C210" s="6" t="s">
        <v>33</v>
      </c>
      <c r="D210" s="4">
        <v>1.0</v>
      </c>
    </row>
    <row r="211" ht="22.5" customHeight="1">
      <c r="A211" s="5" t="s">
        <v>12</v>
      </c>
      <c r="B211" s="6" t="s">
        <v>37</v>
      </c>
      <c r="C211" s="6" t="s">
        <v>33</v>
      </c>
      <c r="D211" s="4">
        <v>0.0</v>
      </c>
    </row>
    <row r="212" ht="22.5" customHeight="1">
      <c r="A212" s="7" t="s">
        <v>13</v>
      </c>
      <c r="B212" s="6" t="s">
        <v>37</v>
      </c>
      <c r="C212" s="6" t="s">
        <v>33</v>
      </c>
      <c r="D212" s="4">
        <v>1.0</v>
      </c>
    </row>
    <row r="213" ht="22.5" customHeight="1">
      <c r="A213" s="5" t="s">
        <v>14</v>
      </c>
      <c r="B213" s="6" t="s">
        <v>37</v>
      </c>
      <c r="C213" s="6" t="s">
        <v>33</v>
      </c>
      <c r="D213" s="4">
        <v>1.0</v>
      </c>
    </row>
    <row r="214" ht="22.5" customHeight="1">
      <c r="A214" s="7" t="s">
        <v>15</v>
      </c>
      <c r="B214" s="6" t="s">
        <v>37</v>
      </c>
      <c r="C214" s="6" t="s">
        <v>33</v>
      </c>
      <c r="D214" s="4">
        <v>0.0</v>
      </c>
    </row>
    <row r="215" ht="22.5" customHeight="1">
      <c r="A215" s="5" t="s">
        <v>16</v>
      </c>
      <c r="B215" s="6" t="s">
        <v>37</v>
      </c>
      <c r="C215" s="6" t="s">
        <v>33</v>
      </c>
      <c r="D215" s="4">
        <v>1.0</v>
      </c>
    </row>
    <row r="216" ht="22.5" customHeight="1">
      <c r="A216" s="7" t="s">
        <v>17</v>
      </c>
      <c r="B216" s="6" t="s">
        <v>37</v>
      </c>
      <c r="C216" s="6" t="s">
        <v>33</v>
      </c>
      <c r="D216" s="4">
        <v>0.0</v>
      </c>
    </row>
    <row r="217" ht="22.5" customHeight="1">
      <c r="A217" s="5" t="s">
        <v>18</v>
      </c>
      <c r="B217" s="6" t="s">
        <v>37</v>
      </c>
      <c r="C217" s="6" t="s">
        <v>33</v>
      </c>
      <c r="D217" s="4">
        <v>1.0</v>
      </c>
    </row>
    <row r="218" ht="22.5" customHeight="1">
      <c r="A218" s="7" t="s">
        <v>19</v>
      </c>
      <c r="B218" s="6" t="s">
        <v>37</v>
      </c>
      <c r="C218" s="6" t="s">
        <v>33</v>
      </c>
      <c r="D218" s="4">
        <v>0.0</v>
      </c>
    </row>
    <row r="219" ht="22.5" customHeight="1">
      <c r="A219" s="5" t="s">
        <v>8</v>
      </c>
      <c r="B219" s="6" t="s">
        <v>38</v>
      </c>
      <c r="C219" s="6" t="s">
        <v>33</v>
      </c>
      <c r="D219" s="4">
        <v>1.0</v>
      </c>
    </row>
    <row r="220" ht="22.5" customHeight="1">
      <c r="A220" s="7" t="s">
        <v>11</v>
      </c>
      <c r="B220" s="6" t="s">
        <v>38</v>
      </c>
      <c r="C220" s="6" t="s">
        <v>33</v>
      </c>
      <c r="D220" s="4">
        <v>1.0</v>
      </c>
    </row>
    <row r="221" ht="22.5" customHeight="1">
      <c r="A221" s="7" t="s">
        <v>13</v>
      </c>
      <c r="B221" s="6" t="s">
        <v>38</v>
      </c>
      <c r="C221" s="6" t="s">
        <v>33</v>
      </c>
      <c r="D221" s="4">
        <v>1.0</v>
      </c>
    </row>
    <row r="222" ht="22.5" customHeight="1">
      <c r="A222" s="7" t="s">
        <v>15</v>
      </c>
      <c r="B222" s="6" t="s">
        <v>38</v>
      </c>
      <c r="C222" s="6" t="s">
        <v>33</v>
      </c>
      <c r="D222" s="4">
        <v>1.0</v>
      </c>
    </row>
    <row r="223" ht="22.5" customHeight="1">
      <c r="A223" s="7" t="s">
        <v>17</v>
      </c>
      <c r="B223" s="6" t="s">
        <v>38</v>
      </c>
      <c r="C223" s="6" t="s">
        <v>33</v>
      </c>
      <c r="D223" s="4">
        <v>1.0</v>
      </c>
    </row>
    <row r="224" ht="22.5" customHeight="1">
      <c r="A224" s="5" t="s">
        <v>14</v>
      </c>
      <c r="B224" s="6" t="s">
        <v>39</v>
      </c>
      <c r="C224" s="6" t="s">
        <v>33</v>
      </c>
      <c r="D224" s="4">
        <v>1.0</v>
      </c>
    </row>
    <row r="225" ht="22.5" customHeight="1">
      <c r="A225" s="7" t="s">
        <v>15</v>
      </c>
      <c r="B225" s="6" t="s">
        <v>39</v>
      </c>
      <c r="C225" s="6" t="s">
        <v>33</v>
      </c>
      <c r="D225" s="4">
        <v>1.0</v>
      </c>
    </row>
    <row r="226" ht="22.5" customHeight="1">
      <c r="A226" s="11" t="s">
        <v>4</v>
      </c>
      <c r="B226" s="12" t="s">
        <v>40</v>
      </c>
      <c r="C226" s="13" t="s">
        <v>33</v>
      </c>
      <c r="D226" s="14">
        <v>1.0</v>
      </c>
    </row>
    <row r="227" ht="22.5" customHeight="1">
      <c r="A227" s="15" t="s">
        <v>7</v>
      </c>
      <c r="B227" s="12" t="s">
        <v>40</v>
      </c>
      <c r="C227" s="16" t="s">
        <v>33</v>
      </c>
      <c r="D227" s="10">
        <v>1.0</v>
      </c>
    </row>
    <row r="228" ht="22.5" customHeight="1">
      <c r="A228" s="11" t="s">
        <v>8</v>
      </c>
      <c r="B228" s="12" t="s">
        <v>40</v>
      </c>
      <c r="C228" s="13" t="s">
        <v>33</v>
      </c>
      <c r="D228" s="14">
        <v>1.0</v>
      </c>
    </row>
    <row r="229" ht="22.5" customHeight="1">
      <c r="A229" s="15" t="s">
        <v>9</v>
      </c>
      <c r="B229" s="12" t="s">
        <v>40</v>
      </c>
      <c r="C229" s="16" t="s">
        <v>33</v>
      </c>
      <c r="D229" s="10">
        <v>1.0</v>
      </c>
    </row>
    <row r="230" ht="22.5" customHeight="1">
      <c r="A230" s="11" t="s">
        <v>10</v>
      </c>
      <c r="B230" s="12" t="s">
        <v>40</v>
      </c>
      <c r="C230" s="13" t="s">
        <v>33</v>
      </c>
      <c r="D230" s="14">
        <v>1.0</v>
      </c>
    </row>
    <row r="231" ht="22.5" customHeight="1">
      <c r="A231" s="15" t="s">
        <v>11</v>
      </c>
      <c r="B231" s="12" t="s">
        <v>40</v>
      </c>
      <c r="C231" s="16" t="s">
        <v>33</v>
      </c>
      <c r="D231" s="17">
        <v>0.0</v>
      </c>
    </row>
    <row r="232" ht="22.5" customHeight="1">
      <c r="A232" s="11" t="s">
        <v>12</v>
      </c>
      <c r="B232" s="12" t="s">
        <v>40</v>
      </c>
      <c r="C232" s="13" t="s">
        <v>33</v>
      </c>
      <c r="D232" s="18">
        <v>0.0</v>
      </c>
    </row>
    <row r="233" ht="22.5" customHeight="1">
      <c r="A233" s="15" t="s">
        <v>13</v>
      </c>
      <c r="B233" s="12" t="s">
        <v>40</v>
      </c>
      <c r="C233" s="16" t="s">
        <v>33</v>
      </c>
      <c r="D233" s="10">
        <v>1.0</v>
      </c>
    </row>
    <row r="234" ht="22.5" customHeight="1">
      <c r="A234" s="11" t="s">
        <v>14</v>
      </c>
      <c r="B234" s="12" t="s">
        <v>40</v>
      </c>
      <c r="C234" s="13" t="s">
        <v>33</v>
      </c>
      <c r="D234" s="18">
        <v>0.0</v>
      </c>
    </row>
    <row r="235" ht="22.5" customHeight="1">
      <c r="A235" s="15" t="s">
        <v>15</v>
      </c>
      <c r="B235" s="12" t="s">
        <v>40</v>
      </c>
      <c r="C235" s="16" t="s">
        <v>33</v>
      </c>
      <c r="D235" s="10">
        <v>1.0</v>
      </c>
    </row>
    <row r="236" ht="22.5" customHeight="1">
      <c r="A236" s="11" t="s">
        <v>16</v>
      </c>
      <c r="B236" s="12" t="s">
        <v>40</v>
      </c>
      <c r="C236" s="13" t="s">
        <v>33</v>
      </c>
      <c r="D236" s="18">
        <v>0.0</v>
      </c>
    </row>
    <row r="237" ht="22.5" customHeight="1">
      <c r="A237" s="15" t="s">
        <v>17</v>
      </c>
      <c r="B237" s="12" t="s">
        <v>40</v>
      </c>
      <c r="C237" s="16" t="s">
        <v>33</v>
      </c>
      <c r="D237" s="17">
        <v>0.0</v>
      </c>
    </row>
    <row r="238" ht="22.5" customHeight="1">
      <c r="A238" s="11" t="s">
        <v>18</v>
      </c>
      <c r="B238" s="12" t="s">
        <v>40</v>
      </c>
      <c r="C238" s="13" t="s">
        <v>33</v>
      </c>
      <c r="D238" s="18">
        <v>0.0</v>
      </c>
    </row>
    <row r="239" ht="22.5" customHeight="1">
      <c r="A239" s="15" t="s">
        <v>19</v>
      </c>
      <c r="B239" s="12" t="s">
        <v>40</v>
      </c>
      <c r="C239" s="19" t="s">
        <v>33</v>
      </c>
      <c r="D239" s="20">
        <v>0.0</v>
      </c>
    </row>
    <row r="240" ht="22.5" customHeight="1">
      <c r="A240" s="11" t="s">
        <v>4</v>
      </c>
      <c r="B240" s="12" t="s">
        <v>41</v>
      </c>
      <c r="C240" s="13" t="s">
        <v>33</v>
      </c>
      <c r="D240" s="18">
        <v>0.0</v>
      </c>
    </row>
    <row r="241" ht="22.5" customHeight="1">
      <c r="A241" s="15" t="s">
        <v>7</v>
      </c>
      <c r="B241" s="12" t="s">
        <v>41</v>
      </c>
      <c r="C241" s="16" t="s">
        <v>33</v>
      </c>
      <c r="D241" s="17">
        <v>0.0</v>
      </c>
    </row>
    <row r="242" ht="22.5" customHeight="1">
      <c r="A242" s="11" t="s">
        <v>8</v>
      </c>
      <c r="B242" s="12" t="s">
        <v>41</v>
      </c>
      <c r="C242" s="13" t="s">
        <v>33</v>
      </c>
      <c r="D242" s="18">
        <v>0.0</v>
      </c>
    </row>
    <row r="243" ht="22.5" customHeight="1">
      <c r="A243" s="15" t="s">
        <v>9</v>
      </c>
      <c r="B243" s="12" t="s">
        <v>41</v>
      </c>
      <c r="C243" s="16" t="s">
        <v>33</v>
      </c>
      <c r="D243" s="17">
        <v>0.0</v>
      </c>
    </row>
    <row r="244" ht="22.5" customHeight="1">
      <c r="A244" s="11" t="s">
        <v>10</v>
      </c>
      <c r="B244" s="12" t="s">
        <v>41</v>
      </c>
      <c r="C244" s="13" t="s">
        <v>33</v>
      </c>
      <c r="D244" s="18">
        <v>0.0</v>
      </c>
    </row>
    <row r="245" ht="22.5" customHeight="1">
      <c r="A245" s="15" t="s">
        <v>11</v>
      </c>
      <c r="B245" s="12" t="s">
        <v>41</v>
      </c>
      <c r="C245" s="16" t="s">
        <v>33</v>
      </c>
      <c r="D245" s="10">
        <v>1.0</v>
      </c>
    </row>
    <row r="246" ht="22.5" customHeight="1">
      <c r="A246" s="11" t="s">
        <v>12</v>
      </c>
      <c r="B246" s="12" t="s">
        <v>41</v>
      </c>
      <c r="C246" s="13" t="s">
        <v>33</v>
      </c>
      <c r="D246" s="14">
        <v>1.0</v>
      </c>
    </row>
    <row r="247" ht="22.5" customHeight="1">
      <c r="A247" s="15" t="s">
        <v>13</v>
      </c>
      <c r="B247" s="12" t="s">
        <v>41</v>
      </c>
      <c r="C247" s="16" t="s">
        <v>33</v>
      </c>
      <c r="D247" s="17">
        <v>0.0</v>
      </c>
    </row>
    <row r="248" ht="22.5" customHeight="1">
      <c r="A248" s="11" t="s">
        <v>14</v>
      </c>
      <c r="B248" s="12" t="s">
        <v>41</v>
      </c>
      <c r="C248" s="13" t="s">
        <v>33</v>
      </c>
      <c r="D248" s="14">
        <v>1.0</v>
      </c>
    </row>
    <row r="249" ht="22.5" customHeight="1">
      <c r="A249" s="15" t="s">
        <v>15</v>
      </c>
      <c r="B249" s="12" t="s">
        <v>41</v>
      </c>
      <c r="C249" s="16" t="s">
        <v>33</v>
      </c>
      <c r="D249" s="17">
        <v>0.0</v>
      </c>
    </row>
    <row r="250" ht="22.5" customHeight="1">
      <c r="A250" s="11" t="s">
        <v>16</v>
      </c>
      <c r="B250" s="12" t="s">
        <v>41</v>
      </c>
      <c r="C250" s="13" t="s">
        <v>33</v>
      </c>
      <c r="D250" s="18">
        <v>0.0</v>
      </c>
    </row>
    <row r="251" ht="22.5" customHeight="1">
      <c r="A251" s="15" t="s">
        <v>17</v>
      </c>
      <c r="B251" s="12" t="s">
        <v>41</v>
      </c>
      <c r="C251" s="16" t="s">
        <v>33</v>
      </c>
      <c r="D251" s="17">
        <v>1.0</v>
      </c>
    </row>
    <row r="252" ht="22.5" customHeight="1">
      <c r="A252" s="11" t="s">
        <v>18</v>
      </c>
      <c r="B252" s="12" t="s">
        <v>41</v>
      </c>
      <c r="C252" s="13" t="s">
        <v>33</v>
      </c>
      <c r="D252" s="18">
        <v>1.0</v>
      </c>
    </row>
    <row r="253" ht="22.5" customHeight="1">
      <c r="A253" s="15" t="s">
        <v>19</v>
      </c>
      <c r="B253" s="12" t="s">
        <v>41</v>
      </c>
      <c r="C253" s="19" t="s">
        <v>33</v>
      </c>
      <c r="D253" s="21">
        <v>1.0</v>
      </c>
    </row>
    <row r="254" ht="22.5" customHeight="1">
      <c r="A254" s="11" t="s">
        <v>4</v>
      </c>
      <c r="B254" s="12" t="s">
        <v>42</v>
      </c>
      <c r="C254" s="22" t="s">
        <v>21</v>
      </c>
      <c r="D254" s="18">
        <v>1.0</v>
      </c>
    </row>
    <row r="255" ht="22.5" customHeight="1">
      <c r="A255" s="15" t="s">
        <v>7</v>
      </c>
      <c r="B255" s="12" t="s">
        <v>42</v>
      </c>
      <c r="C255" s="22" t="s">
        <v>21</v>
      </c>
      <c r="D255" s="17">
        <v>1.0</v>
      </c>
    </row>
    <row r="256" ht="22.5" customHeight="1">
      <c r="A256" s="11" t="s">
        <v>8</v>
      </c>
      <c r="B256" s="12" t="s">
        <v>42</v>
      </c>
      <c r="C256" s="22" t="s">
        <v>21</v>
      </c>
      <c r="D256" s="18">
        <v>1.0</v>
      </c>
    </row>
    <row r="257" ht="22.5" customHeight="1">
      <c r="A257" s="15" t="s">
        <v>9</v>
      </c>
      <c r="B257" s="12" t="s">
        <v>42</v>
      </c>
      <c r="C257" s="22" t="s">
        <v>21</v>
      </c>
      <c r="D257" s="17">
        <v>1.0</v>
      </c>
    </row>
    <row r="258" ht="22.5" customHeight="1">
      <c r="A258" s="11" t="s">
        <v>10</v>
      </c>
      <c r="B258" s="12" t="s">
        <v>42</v>
      </c>
      <c r="C258" s="22" t="s">
        <v>21</v>
      </c>
      <c r="D258" s="18">
        <v>0.0</v>
      </c>
    </row>
    <row r="259" ht="22.5" customHeight="1">
      <c r="A259" s="15" t="s">
        <v>11</v>
      </c>
      <c r="B259" s="12" t="s">
        <v>42</v>
      </c>
      <c r="C259" s="22" t="s">
        <v>21</v>
      </c>
      <c r="D259" s="10">
        <v>1.0</v>
      </c>
    </row>
    <row r="260" ht="22.5" customHeight="1">
      <c r="A260" s="11" t="s">
        <v>12</v>
      </c>
      <c r="B260" s="12" t="s">
        <v>42</v>
      </c>
      <c r="C260" s="22" t="s">
        <v>21</v>
      </c>
      <c r="D260" s="14">
        <v>1.0</v>
      </c>
    </row>
    <row r="261" ht="22.5" customHeight="1">
      <c r="A261" s="15" t="s">
        <v>13</v>
      </c>
      <c r="B261" s="12" t="s">
        <v>42</v>
      </c>
      <c r="C261" s="22" t="s">
        <v>21</v>
      </c>
      <c r="D261" s="17">
        <v>1.0</v>
      </c>
    </row>
    <row r="262" ht="22.5" customHeight="1">
      <c r="A262" s="11" t="s">
        <v>14</v>
      </c>
      <c r="B262" s="12" t="s">
        <v>42</v>
      </c>
      <c r="C262" s="22" t="s">
        <v>21</v>
      </c>
      <c r="D262" s="18">
        <v>0.0</v>
      </c>
    </row>
    <row r="263" ht="22.5" customHeight="1">
      <c r="A263" s="15" t="s">
        <v>15</v>
      </c>
      <c r="B263" s="12" t="s">
        <v>42</v>
      </c>
      <c r="C263" s="22" t="s">
        <v>21</v>
      </c>
      <c r="D263" s="17">
        <v>1.0</v>
      </c>
    </row>
    <row r="264" ht="22.5" customHeight="1">
      <c r="A264" s="11" t="s">
        <v>16</v>
      </c>
      <c r="B264" s="12" t="s">
        <v>42</v>
      </c>
      <c r="C264" s="22" t="s">
        <v>21</v>
      </c>
      <c r="D264" s="18">
        <v>1.0</v>
      </c>
    </row>
    <row r="265" ht="22.5" customHeight="1">
      <c r="A265" s="15" t="s">
        <v>17</v>
      </c>
      <c r="B265" s="12" t="s">
        <v>42</v>
      </c>
      <c r="C265" s="22" t="s">
        <v>21</v>
      </c>
      <c r="D265" s="17">
        <v>0.0</v>
      </c>
    </row>
    <row r="266" ht="22.5" customHeight="1">
      <c r="A266" s="11" t="s">
        <v>18</v>
      </c>
      <c r="B266" s="12" t="s">
        <v>42</v>
      </c>
      <c r="C266" s="22" t="s">
        <v>21</v>
      </c>
      <c r="D266" s="18">
        <v>1.0</v>
      </c>
    </row>
    <row r="267" ht="22.5" customHeight="1">
      <c r="A267" s="15" t="s">
        <v>19</v>
      </c>
      <c r="B267" s="12" t="s">
        <v>42</v>
      </c>
      <c r="C267" s="22" t="s">
        <v>21</v>
      </c>
      <c r="D267" s="21">
        <v>1.0</v>
      </c>
    </row>
    <row r="268" ht="22.5" customHeight="1">
      <c r="A268" s="11" t="s">
        <v>4</v>
      </c>
      <c r="B268" s="12" t="s">
        <v>43</v>
      </c>
      <c r="C268" s="22" t="s">
        <v>23</v>
      </c>
      <c r="D268" s="18">
        <v>1.0</v>
      </c>
    </row>
    <row r="269" ht="22.5" customHeight="1">
      <c r="A269" s="15" t="s">
        <v>7</v>
      </c>
      <c r="B269" s="12" t="s">
        <v>43</v>
      </c>
      <c r="C269" s="22" t="s">
        <v>23</v>
      </c>
      <c r="D269" s="17">
        <v>1.0</v>
      </c>
    </row>
    <row r="270" ht="22.5" customHeight="1">
      <c r="A270" s="11" t="s">
        <v>8</v>
      </c>
      <c r="B270" s="12" t="s">
        <v>43</v>
      </c>
      <c r="C270" s="22" t="s">
        <v>23</v>
      </c>
      <c r="D270" s="18">
        <v>1.0</v>
      </c>
    </row>
    <row r="271" ht="22.5" customHeight="1">
      <c r="A271" s="11" t="s">
        <v>4</v>
      </c>
      <c r="B271" s="12" t="s">
        <v>44</v>
      </c>
      <c r="C271" s="22" t="s">
        <v>21</v>
      </c>
      <c r="D271" s="18">
        <v>1.0</v>
      </c>
    </row>
    <row r="272" ht="22.5" customHeight="1">
      <c r="A272" s="15" t="s">
        <v>7</v>
      </c>
      <c r="B272" s="12" t="s">
        <v>44</v>
      </c>
      <c r="C272" s="22" t="s">
        <v>21</v>
      </c>
      <c r="D272" s="17">
        <v>0.0</v>
      </c>
    </row>
    <row r="273" ht="22.5" customHeight="1">
      <c r="A273" s="11" t="s">
        <v>8</v>
      </c>
      <c r="B273" s="12" t="s">
        <v>44</v>
      </c>
      <c r="C273" s="22" t="s">
        <v>21</v>
      </c>
      <c r="D273" s="18">
        <v>1.0</v>
      </c>
    </row>
    <row r="274" ht="22.5" customHeight="1">
      <c r="A274" s="15" t="s">
        <v>9</v>
      </c>
      <c r="B274" s="12" t="s">
        <v>44</v>
      </c>
      <c r="C274" s="22" t="s">
        <v>21</v>
      </c>
      <c r="D274" s="17">
        <v>1.0</v>
      </c>
    </row>
    <row r="275" ht="22.5" customHeight="1">
      <c r="A275" s="11" t="s">
        <v>10</v>
      </c>
      <c r="B275" s="12" t="s">
        <v>44</v>
      </c>
      <c r="C275" s="22" t="s">
        <v>21</v>
      </c>
      <c r="D275" s="18">
        <v>0.0</v>
      </c>
    </row>
    <row r="276" ht="22.5" customHeight="1">
      <c r="A276" s="15" t="s">
        <v>11</v>
      </c>
      <c r="B276" s="12" t="s">
        <v>44</v>
      </c>
      <c r="C276" s="22" t="s">
        <v>21</v>
      </c>
      <c r="D276" s="17">
        <v>1.0</v>
      </c>
    </row>
    <row r="277" ht="22.5" customHeight="1">
      <c r="A277" s="11" t="s">
        <v>12</v>
      </c>
      <c r="B277" s="12" t="s">
        <v>44</v>
      </c>
      <c r="C277" s="22" t="s">
        <v>21</v>
      </c>
      <c r="D277" s="18">
        <v>0.0</v>
      </c>
    </row>
    <row r="278" ht="22.5" customHeight="1">
      <c r="A278" s="15" t="s">
        <v>13</v>
      </c>
      <c r="B278" s="12" t="s">
        <v>44</v>
      </c>
      <c r="C278" s="22" t="s">
        <v>21</v>
      </c>
      <c r="D278" s="17">
        <v>0.0</v>
      </c>
    </row>
    <row r="279" ht="22.5" customHeight="1">
      <c r="A279" s="11" t="s">
        <v>14</v>
      </c>
      <c r="B279" s="12" t="s">
        <v>44</v>
      </c>
      <c r="C279" s="22" t="s">
        <v>21</v>
      </c>
      <c r="D279" s="18">
        <v>1.0</v>
      </c>
    </row>
    <row r="280" ht="22.5" customHeight="1">
      <c r="A280" s="15" t="s">
        <v>15</v>
      </c>
      <c r="B280" s="12" t="s">
        <v>44</v>
      </c>
      <c r="C280" s="22" t="s">
        <v>21</v>
      </c>
      <c r="D280" s="17">
        <v>0.0</v>
      </c>
    </row>
    <row r="281" ht="22.5" customHeight="1">
      <c r="A281" s="11" t="s">
        <v>16</v>
      </c>
      <c r="B281" s="12" t="s">
        <v>44</v>
      </c>
      <c r="C281" s="22" t="s">
        <v>21</v>
      </c>
      <c r="D281" s="18">
        <v>1.0</v>
      </c>
    </row>
    <row r="282" ht="22.5" customHeight="1">
      <c r="A282" s="15" t="s">
        <v>17</v>
      </c>
      <c r="B282" s="12" t="s">
        <v>44</v>
      </c>
      <c r="C282" s="22" t="s">
        <v>21</v>
      </c>
      <c r="D282" s="17">
        <v>0.0</v>
      </c>
    </row>
    <row r="283" ht="22.5" customHeight="1">
      <c r="A283" s="11" t="s">
        <v>18</v>
      </c>
      <c r="B283" s="12" t="s">
        <v>44</v>
      </c>
      <c r="C283" s="22" t="s">
        <v>21</v>
      </c>
      <c r="D283" s="18">
        <v>1.0</v>
      </c>
    </row>
    <row r="284" ht="22.5" customHeight="1">
      <c r="A284" s="15" t="s">
        <v>19</v>
      </c>
      <c r="B284" s="12" t="s">
        <v>44</v>
      </c>
      <c r="C284" s="22" t="s">
        <v>21</v>
      </c>
      <c r="D284" s="21">
        <v>1.0</v>
      </c>
    </row>
    <row r="285" ht="22.5" customHeight="1">
      <c r="A285" s="11" t="s">
        <v>4</v>
      </c>
      <c r="B285" s="12" t="s">
        <v>45</v>
      </c>
      <c r="C285" s="22" t="s">
        <v>21</v>
      </c>
      <c r="D285" s="18">
        <v>1.0</v>
      </c>
    </row>
    <row r="286" ht="22.5" customHeight="1">
      <c r="A286" s="15" t="s">
        <v>7</v>
      </c>
      <c r="B286" s="12" t="s">
        <v>45</v>
      </c>
      <c r="C286" s="22" t="s">
        <v>21</v>
      </c>
      <c r="D286" s="17">
        <v>1.0</v>
      </c>
    </row>
    <row r="287" ht="22.5" customHeight="1">
      <c r="A287" s="11" t="s">
        <v>8</v>
      </c>
      <c r="B287" s="12" t="s">
        <v>45</v>
      </c>
      <c r="C287" s="22" t="s">
        <v>21</v>
      </c>
      <c r="D287" s="18">
        <v>1.0</v>
      </c>
    </row>
    <row r="288" ht="22.5" customHeight="1">
      <c r="A288" s="15" t="s">
        <v>9</v>
      </c>
      <c r="B288" s="12" t="s">
        <v>45</v>
      </c>
      <c r="C288" s="22" t="s">
        <v>21</v>
      </c>
      <c r="D288" s="17">
        <v>1.0</v>
      </c>
    </row>
    <row r="289" ht="22.5" customHeight="1">
      <c r="A289" s="11" t="s">
        <v>10</v>
      </c>
      <c r="B289" s="12" t="s">
        <v>45</v>
      </c>
      <c r="C289" s="22" t="s">
        <v>21</v>
      </c>
      <c r="D289" s="18">
        <v>1.0</v>
      </c>
    </row>
    <row r="290" ht="22.5" customHeight="1">
      <c r="A290" s="15" t="s">
        <v>11</v>
      </c>
      <c r="B290" s="12" t="s">
        <v>45</v>
      </c>
      <c r="C290" s="22" t="s">
        <v>21</v>
      </c>
      <c r="D290" s="17">
        <v>0.0</v>
      </c>
    </row>
    <row r="291" ht="22.5" customHeight="1">
      <c r="A291" s="11" t="s">
        <v>12</v>
      </c>
      <c r="B291" s="12" t="s">
        <v>45</v>
      </c>
      <c r="C291" s="22" t="s">
        <v>21</v>
      </c>
      <c r="D291" s="18">
        <v>1.0</v>
      </c>
    </row>
    <row r="292" ht="22.5" customHeight="1">
      <c r="A292" s="15" t="s">
        <v>13</v>
      </c>
      <c r="B292" s="12" t="s">
        <v>45</v>
      </c>
      <c r="C292" s="22" t="s">
        <v>21</v>
      </c>
      <c r="D292" s="17">
        <v>1.0</v>
      </c>
    </row>
    <row r="293" ht="22.5" customHeight="1">
      <c r="A293" s="11" t="s">
        <v>14</v>
      </c>
      <c r="B293" s="12" t="s">
        <v>45</v>
      </c>
      <c r="C293" s="22" t="s">
        <v>21</v>
      </c>
      <c r="D293" s="18">
        <v>0.0</v>
      </c>
    </row>
    <row r="294" ht="22.5" customHeight="1">
      <c r="A294" s="15" t="s">
        <v>15</v>
      </c>
      <c r="B294" s="12" t="s">
        <v>45</v>
      </c>
      <c r="C294" s="22" t="s">
        <v>21</v>
      </c>
      <c r="D294" s="17">
        <v>1.0</v>
      </c>
    </row>
    <row r="295" ht="22.5" customHeight="1">
      <c r="A295" s="11" t="s">
        <v>16</v>
      </c>
      <c r="B295" s="12" t="s">
        <v>45</v>
      </c>
      <c r="C295" s="22" t="s">
        <v>21</v>
      </c>
      <c r="D295" s="18">
        <v>1.0</v>
      </c>
    </row>
    <row r="296" ht="22.5" customHeight="1">
      <c r="A296" s="15" t="s">
        <v>17</v>
      </c>
      <c r="B296" s="12" t="s">
        <v>45</v>
      </c>
      <c r="C296" s="22" t="s">
        <v>21</v>
      </c>
      <c r="D296" s="17">
        <v>1.0</v>
      </c>
    </row>
    <row r="297" ht="22.5" customHeight="1">
      <c r="A297" s="11" t="s">
        <v>18</v>
      </c>
      <c r="B297" s="12" t="s">
        <v>45</v>
      </c>
      <c r="C297" s="22" t="s">
        <v>21</v>
      </c>
      <c r="D297" s="18">
        <v>1.0</v>
      </c>
    </row>
    <row r="298" ht="22.5" customHeight="1">
      <c r="A298" s="15" t="s">
        <v>19</v>
      </c>
      <c r="B298" s="12" t="s">
        <v>45</v>
      </c>
      <c r="C298" s="22" t="s">
        <v>21</v>
      </c>
      <c r="D298" s="21">
        <v>1.0</v>
      </c>
    </row>
    <row r="299" ht="22.5" customHeight="1">
      <c r="A299" s="23" t="s">
        <v>10</v>
      </c>
      <c r="B299" s="12" t="s">
        <v>46</v>
      </c>
      <c r="C299" s="22" t="s">
        <v>23</v>
      </c>
      <c r="D299" s="17">
        <v>1.0</v>
      </c>
    </row>
    <row r="300" ht="22.5" customHeight="1">
      <c r="A300" s="24" t="s">
        <v>13</v>
      </c>
      <c r="B300" s="12" t="s">
        <v>46</v>
      </c>
      <c r="C300" s="22" t="s">
        <v>23</v>
      </c>
      <c r="D300" s="18">
        <v>0.0</v>
      </c>
    </row>
    <row r="301" ht="22.5" customHeight="1">
      <c r="A301" s="23" t="s">
        <v>15</v>
      </c>
      <c r="B301" s="12" t="s">
        <v>46</v>
      </c>
      <c r="C301" s="22" t="s">
        <v>23</v>
      </c>
      <c r="D301" s="17">
        <v>1.0</v>
      </c>
    </row>
    <row r="302" ht="22.5" customHeight="1">
      <c r="A302" s="24" t="s">
        <v>17</v>
      </c>
      <c r="B302" s="12" t="s">
        <v>46</v>
      </c>
      <c r="C302" s="22" t="s">
        <v>23</v>
      </c>
      <c r="D302" s="18">
        <v>1.0</v>
      </c>
    </row>
    <row r="303" ht="22.5" customHeight="1">
      <c r="A303" s="23" t="s">
        <v>18</v>
      </c>
      <c r="B303" s="12" t="s">
        <v>46</v>
      </c>
      <c r="C303" s="22" t="s">
        <v>23</v>
      </c>
      <c r="D303" s="21">
        <v>1.0</v>
      </c>
    </row>
  </sheetData>
  <dataValidations>
    <dataValidation type="list" allowBlank="1" sqref="C2:C303">
      <formula1>"Life Class,Sunday Service,Home Visitation,Major Activity"</formula1>
    </dataValidation>
    <dataValidation type="custom" allowBlank="1" showDropDown="1" sqref="D2:D303">
      <formula1>AND(ISNUMBER(D2),(NOT(OR(NOT(ISERROR(DATEVALUE(D2))), AND(ISNUMBER(D2), LEFT(CELL("format", D2))="D")))))</formula1>
    </dataValidation>
    <dataValidation type="list" allowBlank="1" sqref="B2:B303">
      <formula1>"TRUST IN THE LORD,HAVE FAITH IN GOD ,RESPONSIVE CAREGIVING,RESPONSIVE GIVING,RESPONSIVE GIVING,POSTPARTUM &amp; FIRST 1000 DAYS,PRINCIPLES OF GROWTH &amp; DEVELOPMENT,PRINCIPLES OF GROWTH &amp; DEVELOPMENT,STREAMS IN THE DESSERTS,A YEAR END THANKSGIVING FOR NEW LIFE,"&amp;"IMMERSE IN GOD'S WORD,IMMERSE IJ GOD'S WORD,IMMERSE IN GOD'S WORD,SIGNIFICANT OF GOD'S WORD,IMMERSE IN GOD'S WORD,LOVING OUR SPOUSE,LOVING GOD WITH PEOPPLE,JULY 2025 HV,AUGUST 2025 HV,SEPTEMBER 2025 HV,OCTOBER 2025 HV,NOVEMBER 2025 HV,DECEMBER 2025 HV,JAN"&amp;"UARY 2026 HV,FEBRUARY 2026 HV,MARCH 2026 HV,BLESSED WOMB BLESSED HOME,UNSHAKEN FAITH IN A SHAKEN WORLD,October 26 Sunday Service,SEEK GOD FIRST March 6,LIVING IN GOD'S LOVE"</formula1>
    </dataValidation>
    <dataValidation type="list" allowBlank="1" sqref="A2:A303">
      <formula1>"Hazel An Orito,Rhea Angel Bernales,Michelle Orito,Marites Palomar,Cristy Mondalo,Estela Mae Montenegro,Harlene Absalon,Anita Ajoc,Noime Ronquillo,Mayet Midrano,J-C-LYN Hinlas,Robles Aubry,Jeselle Dumalaga,Ronelyn Hungayo"</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0"/>
    <col customWidth="1" min="2" max="6" width="14.38"/>
    <col customWidth="1" min="7" max="7" width="30.5"/>
    <col customWidth="1" min="8" max="8" width="33.75"/>
    <col customWidth="1" min="9" max="9" width="26.13"/>
  </cols>
  <sheetData>
    <row r="1">
      <c r="A1" s="25" t="s">
        <v>47</v>
      </c>
      <c r="B1" s="25" t="s">
        <v>23</v>
      </c>
      <c r="C1" s="25" t="s">
        <v>21</v>
      </c>
      <c r="D1" s="25" t="s">
        <v>33</v>
      </c>
      <c r="E1" s="25" t="s">
        <v>6</v>
      </c>
      <c r="F1" s="25" t="s">
        <v>48</v>
      </c>
      <c r="G1" s="26" t="s">
        <v>49</v>
      </c>
      <c r="H1" s="26" t="s">
        <v>50</v>
      </c>
      <c r="I1" s="26" t="s">
        <v>51</v>
      </c>
    </row>
    <row r="2" ht="29.25" customHeight="1">
      <c r="A2" s="27" t="s">
        <v>9</v>
      </c>
      <c r="B2" s="28">
        <f>(COUNTIFS(Raw!$A:$A,$A2,Raw!$C:$C,B$1,Raw!$D:$D,1)/COUNTIFS(Raw!$A:$A,$A2,Raw!$C:$C,B$1))*30%</f>
        <v>0.3</v>
      </c>
      <c r="C2" s="28">
        <f>(COUNTIFS(Raw!$A:$A,$A2,Raw!$C:$C,C$1,Raw!$D:$D,1)/COUNTIFS(Raw!$A:$A,$A2,Raw!$C:$C,C$1))*20%</f>
        <v>0.2</v>
      </c>
      <c r="D2" s="28">
        <f>(COUNTIFS(Raw!$A:$A,$A2,Raw!$C:$C,D$1,Raw!$D:$D,1)/COUNTIFS(Raw!$A:$A,$A2,Raw!$C:$C,D$1))*15%</f>
        <v>0.1071428571</v>
      </c>
      <c r="E2" s="28">
        <f>(COUNTIFS(Raw!$A:$A,$A2,Raw!$C:$C,E$1,Raw!$D:$D,1)/COUNTIFS(Raw!$A:$A,$A2,Raw!$C:$C,E$1))*35%</f>
        <v>0.2916666667</v>
      </c>
      <c r="F2" s="28">
        <f t="shared" ref="F2:F15" si="1">SUM(B2:E2)</f>
        <v>0.8988095238</v>
      </c>
      <c r="G2" s="29" t="str">
        <f t="shared" ref="G2:G15" si="2">REPT("⭐ ",
  IF(F2&lt;=0.2,1,
  IF(F2&lt;=0.4,2,
  IF(F2&lt;=0.6,3,
  IF(F2&lt;=0.8,4,5)))))
&amp; REPT("☆ ",
  5-IF(F2&lt;=0.2,1,
     IF(F2&lt;=0.4,2,
     IF(F2&lt;=0.6,3,
     IF(F2&lt;=0.8,4,5)))))</f>
        <v>⭐ ⭐ ⭐ ⭐ ⭐ </v>
      </c>
      <c r="H2" s="30" t="s">
        <v>52</v>
      </c>
      <c r="I2" s="30" t="s">
        <v>53</v>
      </c>
    </row>
    <row r="3" ht="29.25" customHeight="1">
      <c r="A3" s="27" t="s">
        <v>8</v>
      </c>
      <c r="B3" s="28">
        <f>(COUNTIFS(Raw!$A:$A,$A3,Raw!$C:$C,B$1,Raw!$D:$D,1)/COUNTIFS(Raw!$A:$A,$A3,Raw!$C:$C,B$1))*30%</f>
        <v>0.3</v>
      </c>
      <c r="C3" s="28">
        <f>(COUNTIFS(Raw!$A:$A,$A3,Raw!$C:$C,C$1,Raw!$D:$D,1)/COUNTIFS(Raw!$A:$A,$A3,Raw!$C:$C,C$1))*20%</f>
        <v>0.15</v>
      </c>
      <c r="D3" s="28">
        <f>(COUNTIFS(Raw!$A:$A,$A3,Raw!$C:$C,D$1,Raw!$D:$D,1)/COUNTIFS(Raw!$A:$A,$A3,Raw!$C:$C,D$1))*15%</f>
        <v>0.09375</v>
      </c>
      <c r="E3" s="28">
        <f>(COUNTIFS(Raw!$A:$A,$A3,Raw!$C:$C,E$1,Raw!$D:$D,1)/COUNTIFS(Raw!$A:$A,$A3,Raw!$C:$C,E$1))*35%</f>
        <v>0.2916666667</v>
      </c>
      <c r="F3" s="28">
        <f t="shared" si="1"/>
        <v>0.8354166667</v>
      </c>
      <c r="G3" s="29" t="str">
        <f t="shared" si="2"/>
        <v>⭐ ⭐ ⭐ ⭐ ⭐ </v>
      </c>
      <c r="H3" s="30" t="s">
        <v>54</v>
      </c>
      <c r="I3" s="30" t="s">
        <v>53</v>
      </c>
    </row>
    <row r="4" ht="29.25" customHeight="1">
      <c r="A4" s="27" t="s">
        <v>19</v>
      </c>
      <c r="B4" s="28">
        <f>(COUNTIFS(Raw!$A:$A,$A4,Raw!$C:$C,B$1,Raw!$D:$D,1)/COUNTIFS(Raw!$A:$A,$A4,Raw!$C:$C,B$1))*30%</f>
        <v>0.225</v>
      </c>
      <c r="C4" s="28">
        <f>(COUNTIFS(Raw!$A:$A,$A4,Raw!$C:$C,C$1,Raw!$D:$D,1)/COUNTIFS(Raw!$A:$A,$A4,Raw!$C:$C,C$1))*20%</f>
        <v>0.2</v>
      </c>
      <c r="D4" s="28">
        <f>(COUNTIFS(Raw!$A:$A,$A4,Raw!$C:$C,D$1,Raw!$D:$D,1)/COUNTIFS(Raw!$A:$A,$A4,Raw!$C:$C,D$1))*15%</f>
        <v>0.06428571429</v>
      </c>
      <c r="E4" s="28">
        <f>(COUNTIFS(Raw!$A:$A,$A4,Raw!$C:$C,E$1,Raw!$D:$D,1)/COUNTIFS(Raw!$A:$A,$A4,Raw!$C:$C,E$1))*35%</f>
        <v>0.2916666667</v>
      </c>
      <c r="F4" s="28">
        <f t="shared" si="1"/>
        <v>0.780952381</v>
      </c>
      <c r="G4" s="29" t="str">
        <f t="shared" si="2"/>
        <v>⭐ ⭐ ⭐ ⭐ ☆ </v>
      </c>
      <c r="H4" s="31" t="s">
        <v>55</v>
      </c>
      <c r="I4" s="30" t="s">
        <v>53</v>
      </c>
    </row>
    <row r="5" ht="29.25" customHeight="1">
      <c r="A5" s="27" t="s">
        <v>16</v>
      </c>
      <c r="B5" s="28">
        <f>(COUNTIFS(Raw!$A:$A,$A5,Raw!$C:$C,B$1,Raw!$D:$D,1)/COUNTIFS(Raw!$A:$A,$A5,Raw!$C:$C,B$1))*30%</f>
        <v>0.2</v>
      </c>
      <c r="C5" s="28">
        <f>(COUNTIFS(Raw!$A:$A,$A5,Raw!$C:$C,C$1,Raw!$D:$D,1)/COUNTIFS(Raw!$A:$A,$A5,Raw!$C:$C,C$1))*20%</f>
        <v>0.2</v>
      </c>
      <c r="D5" s="28">
        <f>(COUNTIFS(Raw!$A:$A,$A5,Raw!$C:$C,D$1,Raw!$D:$D,1)/COUNTIFS(Raw!$A:$A,$A5,Raw!$C:$C,D$1))*15%</f>
        <v>0.08571428571</v>
      </c>
      <c r="E5" s="28">
        <f>(COUNTIFS(Raw!$A:$A,$A5,Raw!$C:$C,E$1,Raw!$D:$D,1)/COUNTIFS(Raw!$A:$A,$A5,Raw!$C:$C,E$1))*35%</f>
        <v>0.2916666667</v>
      </c>
      <c r="F5" s="28">
        <f t="shared" si="1"/>
        <v>0.7773809524</v>
      </c>
      <c r="G5" s="29" t="str">
        <f t="shared" si="2"/>
        <v>⭐ ⭐ ⭐ ⭐ ☆ </v>
      </c>
      <c r="H5" s="31" t="s">
        <v>55</v>
      </c>
      <c r="I5" s="30" t="s">
        <v>53</v>
      </c>
    </row>
    <row r="6" ht="29.25" customHeight="1">
      <c r="A6" s="27" t="s">
        <v>18</v>
      </c>
      <c r="B6" s="28">
        <f>(COUNTIFS(Raw!$A:$A,$A6,Raw!$C:$C,B$1,Raw!$D:$D,1)/COUNTIFS(Raw!$A:$A,$A6,Raw!$C:$C,B$1))*30%</f>
        <v>0.225</v>
      </c>
      <c r="C6" s="28">
        <f>(COUNTIFS(Raw!$A:$A,$A6,Raw!$C:$C,C$1,Raw!$D:$D,1)/COUNTIFS(Raw!$A:$A,$A6,Raw!$C:$C,C$1))*20%</f>
        <v>0.2</v>
      </c>
      <c r="D6" s="28">
        <f>(COUNTIFS(Raw!$A:$A,$A6,Raw!$C:$C,D$1,Raw!$D:$D,1)/COUNTIFS(Raw!$A:$A,$A6,Raw!$C:$C,D$1))*15%</f>
        <v>0.08571428571</v>
      </c>
      <c r="E6" s="28">
        <f>(COUNTIFS(Raw!$A:$A,$A6,Raw!$C:$C,E$1,Raw!$D:$D,1)/COUNTIFS(Raw!$A:$A,$A6,Raw!$C:$C,E$1))*35%</f>
        <v>0.2916666667</v>
      </c>
      <c r="F6" s="28">
        <f t="shared" si="1"/>
        <v>0.8023809524</v>
      </c>
      <c r="G6" s="29" t="str">
        <f t="shared" si="2"/>
        <v>⭐ ⭐ ⭐ ⭐ ⭐ </v>
      </c>
      <c r="H6" s="30" t="s">
        <v>52</v>
      </c>
      <c r="I6" s="30" t="s">
        <v>53</v>
      </c>
      <c r="J6" s="32"/>
    </row>
    <row r="7" ht="29.25" customHeight="1">
      <c r="A7" s="27" t="s">
        <v>11</v>
      </c>
      <c r="B7" s="28">
        <f>(COUNTIFS(Raw!$A:$A,$A7,Raw!$C:$C,B$1,Raw!$D:$D,1)/COUNTIFS(Raw!$A:$A,$A7,Raw!$C:$C,B$1))*30%</f>
        <v>0.3</v>
      </c>
      <c r="C7" s="28">
        <f>(COUNTIFS(Raw!$A:$A,$A7,Raw!$C:$C,C$1,Raw!$D:$D,1)/COUNTIFS(Raw!$A:$A,$A7,Raw!$C:$C,C$1))*20%</f>
        <v>0.15</v>
      </c>
      <c r="D7" s="28">
        <f>(COUNTIFS(Raw!$A:$A,$A7,Raw!$C:$C,D$1,Raw!$D:$D,1)/COUNTIFS(Raw!$A:$A,$A7,Raw!$C:$C,D$1))*15%</f>
        <v>0.09375</v>
      </c>
      <c r="E7" s="28">
        <f>(COUNTIFS(Raw!$A:$A,$A7,Raw!$C:$C,E$1,Raw!$D:$D,1)/COUNTIFS(Raw!$A:$A,$A7,Raw!$C:$C,E$1))*35%</f>
        <v>0.2333333333</v>
      </c>
      <c r="F7" s="28">
        <f t="shared" si="1"/>
        <v>0.7770833333</v>
      </c>
      <c r="G7" s="29" t="str">
        <f t="shared" si="2"/>
        <v>⭐ ⭐ ⭐ ⭐ ☆ </v>
      </c>
      <c r="H7" s="30" t="s">
        <v>55</v>
      </c>
      <c r="I7" s="30" t="s">
        <v>56</v>
      </c>
    </row>
    <row r="8" ht="29.25" customHeight="1">
      <c r="A8" s="27" t="s">
        <v>4</v>
      </c>
      <c r="B8" s="28">
        <f>(COUNTIFS(Raw!$A:$A,$A8,Raw!$C:$C,B$1,Raw!$D:$D,1)/COUNTIFS(Raw!$A:$A,$A8,Raw!$C:$C,B$1))*30%</f>
        <v>0.225</v>
      </c>
      <c r="C8" s="28">
        <f>(COUNTIFS(Raw!$A:$A,$A8,Raw!$C:$C,C$1,Raw!$D:$D,1)/COUNTIFS(Raw!$A:$A,$A8,Raw!$C:$C,C$1))*20%</f>
        <v>0.2</v>
      </c>
      <c r="D8" s="28">
        <f>(COUNTIFS(Raw!$A:$A,$A8,Raw!$C:$C,D$1,Raw!$D:$D,1)/COUNTIFS(Raw!$A:$A,$A8,Raw!$C:$C,D$1))*15%</f>
        <v>0.1071428571</v>
      </c>
      <c r="E8" s="28">
        <f>(COUNTIFS(Raw!$A:$A,$A8,Raw!$C:$C,E$1,Raw!$D:$D,1)/COUNTIFS(Raw!$A:$A,$A8,Raw!$C:$C,E$1))*35%</f>
        <v>0.2333333333</v>
      </c>
      <c r="F8" s="28">
        <f t="shared" si="1"/>
        <v>0.7654761905</v>
      </c>
      <c r="G8" s="29" t="str">
        <f t="shared" si="2"/>
        <v>⭐ ⭐ ⭐ ⭐ ☆ </v>
      </c>
      <c r="H8" s="33" t="s">
        <v>52</v>
      </c>
      <c r="I8" s="30" t="s">
        <v>53</v>
      </c>
    </row>
    <row r="9" ht="29.25" customHeight="1">
      <c r="A9" s="27" t="s">
        <v>13</v>
      </c>
      <c r="B9" s="28">
        <f>(COUNTIFS(Raw!$A:$A,$A9,Raw!$C:$C,B$1,Raw!$D:$D,1)/COUNTIFS(Raw!$A:$A,$A9,Raw!$C:$C,B$1))*30%</f>
        <v>0.18</v>
      </c>
      <c r="C9" s="28">
        <f>(COUNTIFS(Raw!$A:$A,$A9,Raw!$C:$C,C$1,Raw!$D:$D,1)/COUNTIFS(Raw!$A:$A,$A9,Raw!$C:$C,C$1))*20%</f>
        <v>0.15</v>
      </c>
      <c r="D9" s="28">
        <f>(COUNTIFS(Raw!$A:$A,$A9,Raw!$C:$C,D$1,Raw!$D:$D,1)/COUNTIFS(Raw!$A:$A,$A9,Raw!$C:$C,D$1))*15%</f>
        <v>0.09375</v>
      </c>
      <c r="E9" s="28">
        <f>(COUNTIFS(Raw!$A:$A,$A9,Raw!$C:$C,E$1,Raw!$D:$D,1)/COUNTIFS(Raw!$A:$A,$A9,Raw!$C:$C,E$1))*35%</f>
        <v>0.2333333333</v>
      </c>
      <c r="F9" s="28">
        <f t="shared" si="1"/>
        <v>0.6570833333</v>
      </c>
      <c r="G9" s="29" t="str">
        <f t="shared" si="2"/>
        <v>⭐ ⭐ ⭐ ⭐ ☆ </v>
      </c>
      <c r="H9" s="31" t="s">
        <v>55</v>
      </c>
      <c r="I9" s="30" t="s">
        <v>56</v>
      </c>
    </row>
    <row r="10" ht="29.25" customHeight="1">
      <c r="A10" s="27" t="s">
        <v>7</v>
      </c>
      <c r="B10" s="28">
        <f>(COUNTIFS(Raw!$A:$A,$A10,Raw!$C:$C,B$1,Raw!$D:$D,1)/COUNTIFS(Raw!$A:$A,$A10,Raw!$C:$C,B$1))*30%</f>
        <v>0.3</v>
      </c>
      <c r="C10" s="28">
        <f>(COUNTIFS(Raw!$A:$A,$A10,Raw!$C:$C,C$1,Raw!$D:$D,1)/COUNTIFS(Raw!$A:$A,$A10,Raw!$C:$C,C$1))*20%</f>
        <v>0.1</v>
      </c>
      <c r="D10" s="28">
        <f>(COUNTIFS(Raw!$A:$A,$A10,Raw!$C:$C,D$1,Raw!$D:$D,1)/COUNTIFS(Raw!$A:$A,$A10,Raw!$C:$C,D$1))*15%</f>
        <v>0.1071428571</v>
      </c>
      <c r="E10" s="28">
        <f>(COUNTIFS(Raw!$A:$A,$A10,Raw!$C:$C,E$1,Raw!$D:$D,1)/COUNTIFS(Raw!$A:$A,$A10,Raw!$C:$C,E$1))*35%</f>
        <v>0.175</v>
      </c>
      <c r="F10" s="28">
        <f t="shared" si="1"/>
        <v>0.6821428571</v>
      </c>
      <c r="G10" s="29" t="str">
        <f t="shared" si="2"/>
        <v>⭐ ⭐ ⭐ ⭐ ☆ </v>
      </c>
      <c r="H10" s="30" t="s">
        <v>52</v>
      </c>
      <c r="I10" s="30" t="s">
        <v>53</v>
      </c>
    </row>
    <row r="11" ht="29.25" customHeight="1">
      <c r="A11" s="27" t="s">
        <v>17</v>
      </c>
      <c r="B11" s="28">
        <f>(COUNTIFS(Raw!$A:$A,$A11,Raw!$C:$C,B$1,Raw!$D:$D,1)/COUNTIFS(Raw!$A:$A,$A11,Raw!$C:$C,B$1))*30%</f>
        <v>0.3</v>
      </c>
      <c r="C11" s="28">
        <f>(COUNTIFS(Raw!$A:$A,$A11,Raw!$C:$C,C$1,Raw!$D:$D,1)/COUNTIFS(Raw!$A:$A,$A11,Raw!$C:$C,C$1))*20%</f>
        <v>0.05</v>
      </c>
      <c r="D11" s="28">
        <f>(COUNTIFS(Raw!$A:$A,$A11,Raw!$C:$C,D$1,Raw!$D:$D,1)/COUNTIFS(Raw!$A:$A,$A11,Raw!$C:$C,D$1))*15%</f>
        <v>0.09375</v>
      </c>
      <c r="E11" s="28">
        <f>(COUNTIFS(Raw!$A:$A,$A11,Raw!$C:$C,E$1,Raw!$D:$D,1)/COUNTIFS(Raw!$A:$A,$A11,Raw!$C:$C,E$1))*35%</f>
        <v>0.175</v>
      </c>
      <c r="F11" s="28">
        <f t="shared" si="1"/>
        <v>0.61875</v>
      </c>
      <c r="G11" s="29" t="str">
        <f t="shared" si="2"/>
        <v>⭐ ⭐ ⭐ ⭐ ☆ </v>
      </c>
      <c r="H11" s="30" t="s">
        <v>52</v>
      </c>
      <c r="I11" s="30" t="s">
        <v>57</v>
      </c>
    </row>
    <row r="12" ht="29.25" customHeight="1">
      <c r="A12" s="27" t="s">
        <v>15</v>
      </c>
      <c r="B12" s="28">
        <f>(COUNTIFS(Raw!$A:$A,$A12,Raw!$C:$C,B$1,Raw!$D:$D,1)/COUNTIFS(Raw!$A:$A,$A12,Raw!$C:$C,B$1))*30%</f>
        <v>0.24</v>
      </c>
      <c r="C12" s="28">
        <f>(COUNTIFS(Raw!$A:$A,$A12,Raw!$C:$C,C$1,Raw!$D:$D,1)/COUNTIFS(Raw!$A:$A,$A12,Raw!$C:$C,C$1))*20%</f>
        <v>0.15</v>
      </c>
      <c r="D12" s="28">
        <f>(COUNTIFS(Raw!$A:$A,$A12,Raw!$C:$C,D$1,Raw!$D:$D,1)/COUNTIFS(Raw!$A:$A,$A12,Raw!$C:$C,D$1))*15%</f>
        <v>0.06666666667</v>
      </c>
      <c r="E12" s="28">
        <f>(COUNTIFS(Raw!$A:$A,$A12,Raw!$C:$C,E$1,Raw!$D:$D,1)/COUNTIFS(Raw!$A:$A,$A12,Raw!$C:$C,E$1))*35%</f>
        <v>0.175</v>
      </c>
      <c r="F12" s="28">
        <f t="shared" si="1"/>
        <v>0.6316666667</v>
      </c>
      <c r="G12" s="29" t="str">
        <f t="shared" si="2"/>
        <v>⭐ ⭐ ⭐ ⭐ ☆ </v>
      </c>
      <c r="H12" s="30" t="s">
        <v>52</v>
      </c>
      <c r="I12" s="30" t="s">
        <v>53</v>
      </c>
    </row>
    <row r="13" ht="29.25" customHeight="1">
      <c r="A13" s="27" t="s">
        <v>12</v>
      </c>
      <c r="B13" s="28">
        <f>(COUNTIFS(Raw!$A:$A,$A13,Raw!$C:$C,B$1,Raw!$D:$D,1)/COUNTIFS(Raw!$A:$A,$A13,Raw!$C:$C,B$1))*30%</f>
        <v>0.18</v>
      </c>
      <c r="C13" s="28">
        <f>(COUNTIFS(Raw!$A:$A,$A13,Raw!$C:$C,C$1,Raw!$D:$D,1)/COUNTIFS(Raw!$A:$A,$A13,Raw!$C:$C,C$1))*20%</f>
        <v>0.1</v>
      </c>
      <c r="D13" s="28">
        <f>(COUNTIFS(Raw!$A:$A,$A13,Raw!$C:$C,D$1,Raw!$D:$D,1)/COUNTIFS(Raw!$A:$A,$A13,Raw!$C:$C,D$1))*15%</f>
        <v>0.08571428571</v>
      </c>
      <c r="E13" s="28">
        <f>(COUNTIFS(Raw!$A:$A,$A13,Raw!$C:$C,E$1,Raw!$D:$D,1)/COUNTIFS(Raw!$A:$A,$A13,Raw!$C:$C,E$1))*35%</f>
        <v>0.2333333333</v>
      </c>
      <c r="F13" s="28">
        <f t="shared" si="1"/>
        <v>0.599047619</v>
      </c>
      <c r="G13" s="29" t="str">
        <f t="shared" si="2"/>
        <v>⭐ ⭐ ⭐ ☆ ☆ </v>
      </c>
      <c r="H13" s="30" t="s">
        <v>52</v>
      </c>
      <c r="I13" s="30" t="s">
        <v>53</v>
      </c>
    </row>
    <row r="14" ht="29.25" customHeight="1">
      <c r="A14" s="27" t="s">
        <v>14</v>
      </c>
      <c r="B14" s="28">
        <f>(COUNTIFS(Raw!$A:$A,$A14,Raw!$C:$C,B$1,Raw!$D:$D,1)/COUNTIFS(Raw!$A:$A,$A14,Raw!$C:$C,B$1))*30%</f>
        <v>0.24</v>
      </c>
      <c r="C14" s="28">
        <f>(COUNTIFS(Raw!$A:$A,$A14,Raw!$C:$C,C$1,Raw!$D:$D,1)/COUNTIFS(Raw!$A:$A,$A14,Raw!$C:$C,C$1))*20%</f>
        <v>0.1</v>
      </c>
      <c r="D14" s="28">
        <f>(COUNTIFS(Raw!$A:$A,$A14,Raw!$C:$C,D$1,Raw!$D:$D,1)/COUNTIFS(Raw!$A:$A,$A14,Raw!$C:$C,D$1))*15%</f>
        <v>0.09375</v>
      </c>
      <c r="E14" s="28">
        <f>(COUNTIFS(Raw!$A:$A,$A14,Raw!$C:$C,E$1,Raw!$D:$D,1)/COUNTIFS(Raw!$A:$A,$A14,Raw!$C:$C,E$1))*35%</f>
        <v>0.1166666667</v>
      </c>
      <c r="F14" s="28">
        <f t="shared" si="1"/>
        <v>0.5504166667</v>
      </c>
      <c r="G14" s="29" t="str">
        <f t="shared" si="2"/>
        <v>⭐ ⭐ ⭐ ☆ ☆ </v>
      </c>
      <c r="H14" s="30" t="s">
        <v>54</v>
      </c>
      <c r="I14" s="30" t="s">
        <v>57</v>
      </c>
    </row>
    <row r="15" ht="29.25" customHeight="1">
      <c r="A15" s="27" t="s">
        <v>10</v>
      </c>
      <c r="B15" s="28">
        <f>(COUNTIFS(Raw!$A:$A,$A15,Raw!$C:$C,B$1,Raw!$D:$D,1)/COUNTIFS(Raw!$A:$A,$A15,Raw!$C:$C,B$1))*30%</f>
        <v>0.15</v>
      </c>
      <c r="C15" s="28">
        <f>(COUNTIFS(Raw!$A:$A,$A15,Raw!$C:$C,C$1,Raw!$D:$D,1)/COUNTIFS(Raw!$A:$A,$A15,Raw!$C:$C,C$1))*20%</f>
        <v>0.05</v>
      </c>
      <c r="D15" s="28">
        <f>(COUNTIFS(Raw!$A:$A,$A15,Raw!$C:$C,D$1,Raw!$D:$D,1)/COUNTIFS(Raw!$A:$A,$A15,Raw!$C:$C,D$1))*15%</f>
        <v>0.08571428571</v>
      </c>
      <c r="E15" s="28">
        <f>(COUNTIFS(Raw!$A:$A,$A15,Raw!$C:$C,E$1,Raw!$D:$D,1)/COUNTIFS(Raw!$A:$A,$A15,Raw!$C:$C,E$1))*35%</f>
        <v>0.175</v>
      </c>
      <c r="F15" s="28">
        <f t="shared" si="1"/>
        <v>0.4607142857</v>
      </c>
      <c r="G15" s="29" t="str">
        <f t="shared" si="2"/>
        <v>⭐ ⭐ ⭐ ☆ ☆ </v>
      </c>
      <c r="H15" s="30" t="s">
        <v>54</v>
      </c>
      <c r="I15" s="30" t="s">
        <v>57</v>
      </c>
    </row>
    <row r="18">
      <c r="B18" s="34" t="s">
        <v>58</v>
      </c>
      <c r="C18" s="34" t="s">
        <v>59</v>
      </c>
      <c r="D18" s="34" t="s">
        <v>59</v>
      </c>
      <c r="G18" s="34"/>
      <c r="H18" s="34" t="s">
        <v>60</v>
      </c>
    </row>
  </sheetData>
  <autoFilter ref="$A$1:$I$15">
    <sortState ref="A1:I15">
      <sortCondition descending="1" ref="F1:F15"/>
    </sortState>
  </autoFilter>
  <dataValidations>
    <dataValidation type="list" allowBlank="1" showErrorMessage="1" sqref="H2:H15">
      <formula1>"Developing (Still Learning),Growing (Shows good understanding),Needs Guidance (Needs Mentoring),Spiritually Mature (Applies teaching),Responsive,Neglectful"</formula1>
    </dataValidation>
    <dataValidation type="list" allowBlank="1" showErrorMessage="1" sqref="I8">
      <formula1>"Active,Energetic,In Active,Disobedient,Rebellious,Misbehaving,Uncooperative,Up-to-date"</formula1>
    </dataValidation>
    <dataValidation type="list" allowBlank="1" showErrorMessage="1" sqref="I2:I7 I9:I15">
      <formula1>"Active,Energetic,In Active,Disobedient,Rebellious,Misbehaving,Uncooperative,Up-to-date"</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38"/>
    <col customWidth="1" min="2" max="2" width="31.75"/>
    <col customWidth="1" min="3" max="3" width="24.75"/>
    <col customWidth="1" min="4" max="4" width="18.13"/>
  </cols>
  <sheetData>
    <row r="1">
      <c r="A1" s="35"/>
      <c r="B1" s="36" t="s">
        <v>13</v>
      </c>
      <c r="C1" s="35"/>
      <c r="D1" s="35"/>
    </row>
    <row r="2">
      <c r="A2" s="35"/>
      <c r="B2" s="35"/>
      <c r="C2" s="35"/>
      <c r="D2" s="35"/>
    </row>
    <row r="3">
      <c r="A3" s="35"/>
      <c r="B3" s="35"/>
      <c r="C3" s="35"/>
      <c r="D3" s="35"/>
    </row>
    <row r="4">
      <c r="A4" s="36" t="s">
        <v>23</v>
      </c>
      <c r="B4" s="37">
        <f t="array" ref="B4">XLOOKUP($B$1, 'Calculation Sheet'!$A$2:$A$15, 'Calculation Sheet'!$B$2:$B$15)</f>
        <v>0.18</v>
      </c>
      <c r="C4" s="35"/>
      <c r="D4" s="35"/>
    </row>
    <row r="5">
      <c r="A5" s="36" t="s">
        <v>21</v>
      </c>
      <c r="B5" s="37">
        <f t="array" ref="B5">XLOOKUP($B$1, 'Calculation Sheet'!$A$2:$A$15, 'Calculation Sheet'!$C$2:$C$15)</f>
        <v>0.15</v>
      </c>
      <c r="C5" s="35"/>
      <c r="D5" s="35"/>
    </row>
    <row r="6">
      <c r="A6" s="36" t="s">
        <v>33</v>
      </c>
      <c r="B6" s="37">
        <f t="array" ref="B6">XLOOKUP($B$1, 'Calculation Sheet'!$A$2:$A$15, 'Calculation Sheet'!$D$2:$D$15)</f>
        <v>0.09375</v>
      </c>
      <c r="C6" s="35"/>
      <c r="D6" s="35"/>
    </row>
    <row r="7">
      <c r="A7" s="36" t="s">
        <v>6</v>
      </c>
      <c r="B7" s="37">
        <f t="array" ref="B7">XLOOKUP($B$1, 'Calculation Sheet'!$A$2:$A$15, 'Calculation Sheet'!$E$2:$E$15)</f>
        <v>0.2333333333</v>
      </c>
      <c r="C7" s="35"/>
      <c r="D7" s="35"/>
    </row>
    <row r="8">
      <c r="A8" s="36" t="s">
        <v>61</v>
      </c>
      <c r="B8" s="37">
        <f t="array" ref="B8">XLOOKUP($B$1, 'Calculation Sheet'!$A$2:$A$15, 'Calculation Sheet'!$F$2:$F$15)</f>
        <v>0.6570833333</v>
      </c>
      <c r="C8" s="35"/>
      <c r="D8" s="35"/>
    </row>
    <row r="9">
      <c r="A9" s="35"/>
      <c r="B9" s="35"/>
      <c r="C9" s="35"/>
      <c r="D9" s="35"/>
    </row>
    <row r="10">
      <c r="A10" s="38" t="str">
        <f>REPT("⭐ ",
  IF(B8&lt;=0.2,1,
  IF(B8&lt;=0.4,2,
  IF(B8&lt;=0.6,3,
  IF(B8&lt;=0.8,4,5)))))
&amp; REPT("☆ ",
  5-IF(B8&lt;=0.2,1,
     IF(B8&lt;=0.4,2,
     IF(B8&lt;=0.6,3,
     IF(B8&lt;=0.8,4,5)))))</f>
        <v>⭐ ⭐ ⭐ ⭐ ☆ </v>
      </c>
      <c r="C10" s="35"/>
      <c r="D10" s="35"/>
    </row>
    <row r="11">
      <c r="C11" s="35"/>
      <c r="D11" s="35"/>
    </row>
    <row r="12">
      <c r="C12" s="35"/>
      <c r="D12" s="35"/>
    </row>
    <row r="13">
      <c r="A13" s="35"/>
      <c r="B13" s="35"/>
      <c r="C13" s="35"/>
      <c r="D13" s="35"/>
    </row>
    <row r="14">
      <c r="A14" s="35"/>
      <c r="B14" s="35"/>
      <c r="C14" s="35"/>
      <c r="D14" s="35"/>
    </row>
    <row r="15">
      <c r="A15" s="35"/>
      <c r="B15" s="35"/>
      <c r="C15" s="35"/>
      <c r="D15" s="35"/>
    </row>
    <row r="16">
      <c r="A16" s="35"/>
      <c r="B16" s="35"/>
      <c r="C16" s="35"/>
      <c r="D16" s="35"/>
    </row>
    <row r="17">
      <c r="A17" s="35"/>
      <c r="B17" s="35"/>
      <c r="C17" s="35"/>
      <c r="D17" s="35"/>
    </row>
    <row r="18">
      <c r="A18" s="35"/>
      <c r="B18" s="35"/>
      <c r="C18" s="35"/>
      <c r="D18" s="35"/>
    </row>
    <row r="19">
      <c r="A19" s="35"/>
      <c r="B19" s="35"/>
      <c r="C19" s="35"/>
      <c r="D19" s="35"/>
    </row>
    <row r="23" ht="15.0" customHeight="1"/>
    <row r="24">
      <c r="A24" s="39" t="s">
        <v>50</v>
      </c>
      <c r="B24" s="40" t="str">
        <f t="array" ref="B24">XLOOKUP($B$1, 'Calculation Sheet'!$A$2:$A$15, 'Calculation Sheet'!$H$2:$H$15)</f>
        <v>Growing (Shows good understanding)</v>
      </c>
    </row>
    <row r="25">
      <c r="A25" s="39" t="s">
        <v>51</v>
      </c>
      <c r="B25" s="40" t="str">
        <f t="array" ref="B25">XLOOKUP($B$1, 'Calculation Sheet'!$A$2:$A$15, 'Calculation Sheet'!$I$2:$I$15)</f>
        <v>Active, Up-to-date</v>
      </c>
    </row>
  </sheetData>
  <mergeCells count="3">
    <mergeCell ref="A10:B12"/>
    <mergeCell ref="B24:D24"/>
    <mergeCell ref="B25:D25"/>
  </mergeCells>
  <dataValidations>
    <dataValidation type="list" allowBlank="1" showErrorMessage="1" sqref="B1">
      <formula1>'Calculation Sheet'!$A$2:$A$15</formula1>
    </dataValidation>
  </dataValidations>
  <drawing r:id="rId1"/>
</worksheet>
</file>